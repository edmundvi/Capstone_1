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2.xml" ContentType="application/vnd.openxmlformats-officedocument.spreadsheetml.pivotTable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dmundviray\Documents\DATA_Labs\Capstone_1\"/>
    </mc:Choice>
  </mc:AlternateContent>
  <xr:revisionPtr revIDLastSave="0" documentId="13_ncr:1_{227F16D8-F9F2-45EC-BD27-E08816A089FB}" xr6:coauthVersionLast="47" xr6:coauthVersionMax="47" xr10:uidLastSave="{00000000-0000-0000-0000-000000000000}"/>
  <bookViews>
    <workbookView xWindow="-110" yWindow="-110" windowWidth="19420" windowHeight="11500" tabRatio="827" xr2:uid="{6186977E-619A-4CE2-8640-1DF64AA52B91}"/>
  </bookViews>
  <sheets>
    <sheet name="Revenue Chart" sheetId="10" r:id="rId1"/>
    <sheet name="GrowthChart" sheetId="2" r:id="rId2"/>
    <sheet name="GrowthData" sheetId="4" r:id="rId3"/>
    <sheet name="ProductData" sheetId="3" r:id="rId4"/>
    <sheet name="Revenue Data" sheetId="9" r:id="rId5"/>
  </sheets>
  <definedNames>
    <definedName name="ExternalData_1" localSheetId="3" hidden="1">ProductData!$A$1:$E$289</definedName>
    <definedName name="ExternalData_1" localSheetId="4" hidden="1">'Revenue Data'!$A$1:$C$49</definedName>
  </definedNames>
  <calcPr calcId="191029"/>
  <pivotCaches>
    <pivotCache cacheId="20" r:id="rId6"/>
    <pivotCache cacheId="51" r:id="rId7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8" i="4" l="1"/>
  <c r="C8" i="4"/>
  <c r="D8" i="4"/>
  <c r="E8" i="4"/>
  <c r="F8" i="4"/>
  <c r="G8" i="4"/>
  <c r="F2" i="3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1ABBD06F-EF8D-44DE-B3E8-2C9D11A5BB24}" keepAlive="1" name="Query - ex4C_order_sample" description="Connection to the 'ex4C_order_sample' query in the workbook." type="5" refreshedVersion="8" background="1" saveData="1">
    <dbPr connection="Provider=Microsoft.Mashup.OleDb.1;Data Source=$Workbook$;Location=ex4C_order_sample;Extended Properties=&quot;&quot;" command="SELECT * FROM [ex4C_order_sample]"/>
  </connection>
  <connection id="2" xr16:uid="{B4DC4D50-9272-4864-BD53-964453CE4022}" keepAlive="1" name="Query - ex4C_order_sample2" description="Connection to the 'ex4C_order_sample2' query in the workbook." type="5" refreshedVersion="0" background="1">
    <dbPr connection="Provider=Microsoft.Mashup.OleDb.1;Data Source=$Workbook$;Location=ex4C_order_sample2;Extended Properties=&quot;&quot;" command="SELECT * FROM [ex4C_order_sample2]"/>
  </connection>
  <connection id="3" xr16:uid="{4B17153F-2278-4D05-8BD2-7E0C057F4D33}" keepAlive="1" name="Query - ex4C_order_sample2 (2)" description="Connection to the 'ex4C_order_sample2 (2)' query in the workbook." type="5" refreshedVersion="8" background="1" saveData="1">
    <dbPr connection="Provider=Microsoft.Mashup.OleDb.1;Data Source=$Workbook$;Location=&quot;ex4C_order_sample2 (2)&quot;;Extended Properties=&quot;&quot;" command="SELECT * FROM [ex4C_order_sample2 (2)]"/>
  </connection>
  <connection id="4" xr16:uid="{36BCC78F-2293-47E8-AB2A-09CF63A18A1F}" keepAlive="1" name="Query - ex4C_order_sample3" description="Connection to the 'ex4C_order_sample3' query in the workbook." type="5" refreshedVersion="0" background="1">
    <dbPr connection="Provider=Microsoft.Mashup.OleDb.1;Data Source=$Workbook$;Location=ex4C_order_sample3;Extended Properties=&quot;&quot;" command="SELECT * FROM [ex4C_order_sample3]"/>
  </connection>
</connections>
</file>

<file path=xl/sharedStrings.xml><?xml version="1.0" encoding="utf-8"?>
<sst xmlns="http://schemas.openxmlformats.org/spreadsheetml/2006/main" count="319" uniqueCount="17">
  <si>
    <t>Year</t>
  </si>
  <si>
    <t>Month</t>
  </si>
  <si>
    <t>Category</t>
  </si>
  <si>
    <t>Avg_Transaction_Size</t>
  </si>
  <si>
    <t>Transactions</t>
  </si>
  <si>
    <t>Apparel and Merchandise</t>
  </si>
  <si>
    <t>Art Supplies</t>
  </si>
  <si>
    <t>Books (General)</t>
  </si>
  <si>
    <t>Stationery and Supplies</t>
  </si>
  <si>
    <t>Technology &amp; Accessories</t>
  </si>
  <si>
    <t>Textbooks</t>
  </si>
  <si>
    <t>Row Labels</t>
  </si>
  <si>
    <t>Grand Total</t>
  </si>
  <si>
    <t>Sum of Transactions</t>
  </si>
  <si>
    <t>Column Labels</t>
  </si>
  <si>
    <t>Monthly_Revenue</t>
  </si>
  <si>
    <t>EmporiUm Revenue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</si>
</sst>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theme="4" tint="0.39997558519241921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0">
    <xf numFmtId="0" fontId="0" fillId="0" borderId="0" xfId="0"/>
    <xf numFmtId="0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0" fontId="2" fillId="0" borderId="1" xfId="0" applyFont="1" applyBorder="1" applyAlignment="1">
      <alignment horizontal="left"/>
    </xf>
    <xf numFmtId="0" fontId="2" fillId="0" borderId="1" xfId="0" applyFont="1" applyBorder="1" applyAlignment="1">
      <alignment horizontal="center"/>
    </xf>
    <xf numFmtId="0" fontId="0" fillId="0" borderId="0" xfId="0" applyAlignment="1">
      <alignment horizontal="center"/>
    </xf>
    <xf numFmtId="10" fontId="0" fillId="0" borderId="0" xfId="0" applyNumberFormat="1" applyAlignment="1">
      <alignment horizontal="center"/>
    </xf>
    <xf numFmtId="9" fontId="0" fillId="0" borderId="0" xfId="1" applyFont="1"/>
  </cellXfs>
  <cellStyles count="2">
    <cellStyle name="Normal" xfId="0" builtinId="0"/>
    <cellStyle name="Percent" xfId="1" builtinId="5"/>
  </cellStyles>
  <dxfs count="1"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2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connections" Target="connection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[viray_territory_chart.xlsx]Revenue Chart!PivotTable19</c:name>
    <c:fmtId val="0"/>
  </c:pivotSource>
  <c:chart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3"/>
            </a:solidFill>
            <a:ln w="9525">
              <a:solidFill>
                <a:schemeClr val="accent3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4"/>
            </a:solidFill>
            <a:ln w="9525">
              <a:solidFill>
                <a:schemeClr val="accent4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'Revenue Chart'!$B$1:$B$2</c:f>
              <c:strCache>
                <c:ptCount val="1"/>
                <c:pt idx="0">
                  <c:v>2022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'Revenue Chart'!$A$3:$A$15</c:f>
              <c:strCache>
                <c:ptCount val="1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</c:strCache>
            </c:strRef>
          </c:cat>
          <c:val>
            <c:numRef>
              <c:f>'Revenue Chart'!$B$3:$B$15</c:f>
              <c:numCache>
                <c:formatCode>General</c:formatCode>
                <c:ptCount val="12"/>
                <c:pt idx="0">
                  <c:v>70597.509999999995</c:v>
                </c:pt>
                <c:pt idx="1">
                  <c:v>63225.69</c:v>
                </c:pt>
                <c:pt idx="2">
                  <c:v>64779.71</c:v>
                </c:pt>
                <c:pt idx="3">
                  <c:v>78465.399999999994</c:v>
                </c:pt>
                <c:pt idx="4">
                  <c:v>73037.02</c:v>
                </c:pt>
                <c:pt idx="5">
                  <c:v>66868.55</c:v>
                </c:pt>
                <c:pt idx="6">
                  <c:v>72096.47</c:v>
                </c:pt>
                <c:pt idx="7">
                  <c:v>73904.91</c:v>
                </c:pt>
                <c:pt idx="8">
                  <c:v>77869.16</c:v>
                </c:pt>
                <c:pt idx="9">
                  <c:v>83610.78</c:v>
                </c:pt>
                <c:pt idx="10">
                  <c:v>70526.89</c:v>
                </c:pt>
                <c:pt idx="11">
                  <c:v>84464.75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FD0-44AB-8C89-42F52B442D39}"/>
            </c:ext>
          </c:extLst>
        </c:ser>
        <c:ser>
          <c:idx val="1"/>
          <c:order val="1"/>
          <c:tx>
            <c:strRef>
              <c:f>'Revenue Chart'!$C$1:$C$2</c:f>
              <c:strCache>
                <c:ptCount val="1"/>
                <c:pt idx="0">
                  <c:v>2023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'Revenue Chart'!$A$3:$A$15</c:f>
              <c:strCache>
                <c:ptCount val="1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</c:strCache>
            </c:strRef>
          </c:cat>
          <c:val>
            <c:numRef>
              <c:f>'Revenue Chart'!$C$3:$C$15</c:f>
              <c:numCache>
                <c:formatCode>General</c:formatCode>
                <c:ptCount val="12"/>
                <c:pt idx="0">
                  <c:v>115439.64</c:v>
                </c:pt>
                <c:pt idx="1">
                  <c:v>91815.52</c:v>
                </c:pt>
                <c:pt idx="2">
                  <c:v>101529.42</c:v>
                </c:pt>
                <c:pt idx="3">
                  <c:v>94095.22</c:v>
                </c:pt>
                <c:pt idx="4">
                  <c:v>93011.83</c:v>
                </c:pt>
                <c:pt idx="5">
                  <c:v>88203.9</c:v>
                </c:pt>
                <c:pt idx="6">
                  <c:v>98822.98</c:v>
                </c:pt>
                <c:pt idx="7">
                  <c:v>107203.9</c:v>
                </c:pt>
                <c:pt idx="8">
                  <c:v>95680.79</c:v>
                </c:pt>
                <c:pt idx="9">
                  <c:v>108715.83</c:v>
                </c:pt>
                <c:pt idx="10">
                  <c:v>106648.71</c:v>
                </c:pt>
                <c:pt idx="11">
                  <c:v>111495.71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FD0-44AB-8C89-42F52B442D39}"/>
            </c:ext>
          </c:extLst>
        </c:ser>
        <c:ser>
          <c:idx val="2"/>
          <c:order val="2"/>
          <c:tx>
            <c:strRef>
              <c:f>'Revenue Chart'!$D$1:$D$2</c:f>
              <c:strCache>
                <c:ptCount val="1"/>
                <c:pt idx="0">
                  <c:v>2024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Ref>
              <c:f>'Revenue Chart'!$A$3:$A$15</c:f>
              <c:strCache>
                <c:ptCount val="1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</c:strCache>
            </c:strRef>
          </c:cat>
          <c:val>
            <c:numRef>
              <c:f>'Revenue Chart'!$D$3:$D$15</c:f>
              <c:numCache>
                <c:formatCode>General</c:formatCode>
                <c:ptCount val="12"/>
                <c:pt idx="0">
                  <c:v>99272.17</c:v>
                </c:pt>
                <c:pt idx="1">
                  <c:v>96699.78</c:v>
                </c:pt>
                <c:pt idx="2">
                  <c:v>95231.21</c:v>
                </c:pt>
                <c:pt idx="3">
                  <c:v>91875.839999999997</c:v>
                </c:pt>
                <c:pt idx="4">
                  <c:v>89476.87</c:v>
                </c:pt>
                <c:pt idx="5">
                  <c:v>97550.01</c:v>
                </c:pt>
                <c:pt idx="6">
                  <c:v>107203.9</c:v>
                </c:pt>
                <c:pt idx="7">
                  <c:v>98470.41</c:v>
                </c:pt>
                <c:pt idx="8">
                  <c:v>105926.21</c:v>
                </c:pt>
                <c:pt idx="9">
                  <c:v>110232.92</c:v>
                </c:pt>
                <c:pt idx="10">
                  <c:v>107911.5</c:v>
                </c:pt>
                <c:pt idx="11">
                  <c:v>115439.64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6FD0-44AB-8C89-42F52B442D39}"/>
            </c:ext>
          </c:extLst>
        </c:ser>
        <c:ser>
          <c:idx val="3"/>
          <c:order val="3"/>
          <c:tx>
            <c:strRef>
              <c:f>'Revenue Chart'!$E$1:$E$2</c:f>
              <c:strCache>
                <c:ptCount val="1"/>
                <c:pt idx="0">
                  <c:v>2025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strRef>
              <c:f>'Revenue Chart'!$A$3:$A$15</c:f>
              <c:strCache>
                <c:ptCount val="1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</c:strCache>
            </c:strRef>
          </c:cat>
          <c:val>
            <c:numRef>
              <c:f>'Revenue Chart'!$E$3:$E$15</c:f>
              <c:numCache>
                <c:formatCode>General</c:formatCode>
                <c:ptCount val="12"/>
                <c:pt idx="0">
                  <c:v>148558.26</c:v>
                </c:pt>
                <c:pt idx="1">
                  <c:v>131102.07999999999</c:v>
                </c:pt>
                <c:pt idx="2">
                  <c:v>138083.24</c:v>
                </c:pt>
                <c:pt idx="3">
                  <c:v>138626.23999999999</c:v>
                </c:pt>
                <c:pt idx="4">
                  <c:v>133865.16</c:v>
                </c:pt>
                <c:pt idx="5">
                  <c:v>144521.48000000001</c:v>
                </c:pt>
                <c:pt idx="6">
                  <c:v>149097.1</c:v>
                </c:pt>
                <c:pt idx="7">
                  <c:v>151923.99</c:v>
                </c:pt>
                <c:pt idx="8">
                  <c:v>163449.78</c:v>
                </c:pt>
                <c:pt idx="9">
                  <c:v>250830.46</c:v>
                </c:pt>
                <c:pt idx="10">
                  <c:v>146953.32999999999</c:v>
                </c:pt>
                <c:pt idx="11">
                  <c:v>170994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6FD0-44AB-8C89-42F52B442D3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468477856"/>
        <c:axId val="1468478816"/>
      </c:lineChart>
      <c:catAx>
        <c:axId val="14684778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68478816"/>
        <c:crosses val="autoZero"/>
        <c:auto val="1"/>
        <c:lblAlgn val="ctr"/>
        <c:lblOffset val="100"/>
        <c:noMultiLvlLbl val="0"/>
      </c:catAx>
      <c:valAx>
        <c:axId val="14684788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6847785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tx2">
        <a:lumMod val="10000"/>
        <a:lumOff val="90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EmporiUm Total Transaction</a:t>
            </a:r>
            <a:r>
              <a:rPr lang="en-US" baseline="0"/>
              <a:t>s</a:t>
            </a:r>
            <a:r>
              <a:rPr lang="en-US"/>
              <a:t> Growth</a:t>
            </a:r>
            <a:r>
              <a:rPr lang="en-US" baseline="0"/>
              <a:t> Rate 2024-2025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7.1594925634295717E-2"/>
          <c:y val="0.17171296296296298"/>
          <c:w val="0.88396062992125979"/>
          <c:h val="0.60027668416447943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GrowthChart!$B$1</c:f>
              <c:strCache>
                <c:ptCount val="1"/>
                <c:pt idx="0">
                  <c:v>Apparel and Merchandise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GrowthChart!$A$2</c:f>
              <c:strCache>
                <c:ptCount val="1"/>
                <c:pt idx="0">
                  <c:v>Transactions</c:v>
                </c:pt>
              </c:strCache>
            </c:strRef>
          </c:cat>
          <c:val>
            <c:numRef>
              <c:f>GrowthChart!$B$2</c:f>
              <c:numCache>
                <c:formatCode>0%</c:formatCode>
                <c:ptCount val="1"/>
                <c:pt idx="0">
                  <c:v>0.97731568998109641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44E-42CF-92D5-EB2C77F5305D}"/>
            </c:ext>
          </c:extLst>
        </c:ser>
        <c:ser>
          <c:idx val="1"/>
          <c:order val="1"/>
          <c:tx>
            <c:strRef>
              <c:f>GrowthChart!$C$1</c:f>
              <c:strCache>
                <c:ptCount val="1"/>
                <c:pt idx="0">
                  <c:v>Art Supplies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GrowthChart!$A$2</c:f>
              <c:strCache>
                <c:ptCount val="1"/>
                <c:pt idx="0">
                  <c:v>Transactions</c:v>
                </c:pt>
              </c:strCache>
            </c:strRef>
          </c:cat>
          <c:val>
            <c:numRef>
              <c:f>GrowthChart!$C$2</c:f>
              <c:numCache>
                <c:formatCode>0%</c:formatCode>
                <c:ptCount val="1"/>
                <c:pt idx="0">
                  <c:v>0.88204747774480707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44E-42CF-92D5-EB2C77F5305D}"/>
            </c:ext>
          </c:extLst>
        </c:ser>
        <c:ser>
          <c:idx val="2"/>
          <c:order val="2"/>
          <c:tx>
            <c:strRef>
              <c:f>GrowthChart!$D$1</c:f>
              <c:strCache>
                <c:ptCount val="1"/>
                <c:pt idx="0">
                  <c:v>Books (General)</c:v>
                </c:pt>
              </c:strCache>
            </c:strRef>
          </c:tx>
          <c:spPr>
            <a:solidFill>
              <a:schemeClr val="tx2">
                <a:lumMod val="25000"/>
                <a:lumOff val="75000"/>
              </a:schemeClr>
            </a:solidFill>
            <a:ln>
              <a:noFill/>
            </a:ln>
            <a:effectLst/>
          </c:spPr>
          <c:invertIfNegative val="0"/>
          <c:cat>
            <c:strRef>
              <c:f>GrowthChart!$A$2</c:f>
              <c:strCache>
                <c:ptCount val="1"/>
                <c:pt idx="0">
                  <c:v>Transactions</c:v>
                </c:pt>
              </c:strCache>
            </c:strRef>
          </c:cat>
          <c:val>
            <c:numRef>
              <c:f>GrowthChart!$D$2</c:f>
              <c:numCache>
                <c:formatCode>0%</c:formatCode>
                <c:ptCount val="1"/>
                <c:pt idx="0">
                  <c:v>0.77419354838709675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44E-42CF-92D5-EB2C77F5305D}"/>
            </c:ext>
          </c:extLst>
        </c:ser>
        <c:ser>
          <c:idx val="3"/>
          <c:order val="3"/>
          <c:tx>
            <c:strRef>
              <c:f>GrowthChart!$E$1</c:f>
              <c:strCache>
                <c:ptCount val="1"/>
                <c:pt idx="0">
                  <c:v>Stationery and Supplies</c:v>
                </c:pt>
              </c:strCache>
            </c:strRef>
          </c:tx>
          <c:spPr>
            <a:solidFill>
              <a:schemeClr val="accent2">
                <a:lumMod val="20000"/>
                <a:lumOff val="80000"/>
              </a:schemeClr>
            </a:solidFill>
            <a:ln>
              <a:noFill/>
            </a:ln>
            <a:effectLst/>
          </c:spPr>
          <c:invertIfNegative val="0"/>
          <c:cat>
            <c:strRef>
              <c:f>GrowthChart!$A$2</c:f>
              <c:strCache>
                <c:ptCount val="1"/>
                <c:pt idx="0">
                  <c:v>Transactions</c:v>
                </c:pt>
              </c:strCache>
            </c:strRef>
          </c:cat>
          <c:val>
            <c:numRef>
              <c:f>GrowthChart!$E$2</c:f>
              <c:numCache>
                <c:formatCode>0%</c:formatCode>
                <c:ptCount val="1"/>
                <c:pt idx="0">
                  <c:v>0.9330357142857143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644E-42CF-92D5-EB2C77F5305D}"/>
            </c:ext>
          </c:extLst>
        </c:ser>
        <c:ser>
          <c:idx val="4"/>
          <c:order val="4"/>
          <c:tx>
            <c:strRef>
              <c:f>GrowthChart!$F$1</c:f>
              <c:strCache>
                <c:ptCount val="1"/>
                <c:pt idx="0">
                  <c:v>Technology &amp; Accessories</c:v>
                </c:pt>
              </c:strCache>
            </c:strRef>
          </c:tx>
          <c:spPr>
            <a:solidFill>
              <a:schemeClr val="accent5">
                <a:lumMod val="20000"/>
                <a:lumOff val="80000"/>
              </a:schemeClr>
            </a:solidFill>
            <a:ln>
              <a:noFill/>
            </a:ln>
            <a:effectLst/>
          </c:spPr>
          <c:invertIfNegative val="0"/>
          <c:cat>
            <c:strRef>
              <c:f>GrowthChart!$A$2</c:f>
              <c:strCache>
                <c:ptCount val="1"/>
                <c:pt idx="0">
                  <c:v>Transactions</c:v>
                </c:pt>
              </c:strCache>
            </c:strRef>
          </c:cat>
          <c:val>
            <c:numRef>
              <c:f>GrowthChart!$F$2</c:f>
              <c:numCache>
                <c:formatCode>0%</c:formatCode>
                <c:ptCount val="1"/>
                <c:pt idx="0">
                  <c:v>0.48085998951232301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644E-42CF-92D5-EB2C77F5305D}"/>
            </c:ext>
          </c:extLst>
        </c:ser>
        <c:ser>
          <c:idx val="5"/>
          <c:order val="5"/>
          <c:tx>
            <c:strRef>
              <c:f>GrowthChart!$G$1</c:f>
              <c:strCache>
                <c:ptCount val="1"/>
                <c:pt idx="0">
                  <c:v>Textbooks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GrowthChart!$A$2</c:f>
              <c:strCache>
                <c:ptCount val="1"/>
                <c:pt idx="0">
                  <c:v>Transactions</c:v>
                </c:pt>
              </c:strCache>
            </c:strRef>
          </c:cat>
          <c:val>
            <c:numRef>
              <c:f>GrowthChart!$G$2</c:f>
              <c:numCache>
                <c:formatCode>0%</c:formatCode>
                <c:ptCount val="1"/>
                <c:pt idx="0">
                  <c:v>0.10058737151248165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644E-42CF-92D5-EB2C77F5305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387508415"/>
        <c:axId val="1387519935"/>
      </c:barChart>
      <c:catAx>
        <c:axId val="138750841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ln>
                  <a:noFill/>
                </a:ln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87519935"/>
        <c:crosses val="autoZero"/>
        <c:auto val="1"/>
        <c:lblAlgn val="ctr"/>
        <c:lblOffset val="100"/>
        <c:noMultiLvlLbl val="0"/>
      </c:catAx>
      <c:valAx>
        <c:axId val="13875199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87508415"/>
        <c:crosses val="autoZero"/>
        <c:crossBetween val="between"/>
      </c:valAx>
      <c:spPr>
        <a:noFill/>
        <a:ln>
          <a:solidFill>
            <a:schemeClr val="bg1">
              <a:lumMod val="85000"/>
              <a:alpha val="93000"/>
            </a:schemeClr>
          </a:solidFill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tx2">
        <a:lumMod val="10000"/>
        <a:lumOff val="90000"/>
      </a:schemeClr>
    </a:solidFill>
    <a:ln w="25400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69850</xdr:colOff>
      <xdr:row>15</xdr:row>
      <xdr:rowOff>82550</xdr:rowOff>
    </xdr:from>
    <xdr:to>
      <xdr:col>8</xdr:col>
      <xdr:colOff>196850</xdr:colOff>
      <xdr:row>35</xdr:row>
      <xdr:rowOff>146050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C9AC641-E69F-B5F6-EBD8-A2D781DF526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104774</xdr:colOff>
      <xdr:row>2</xdr:row>
      <xdr:rowOff>57150</xdr:rowOff>
    </xdr:from>
    <xdr:to>
      <xdr:col>4</xdr:col>
      <xdr:colOff>1308099</xdr:colOff>
      <xdr:row>19</xdr:row>
      <xdr:rowOff>63500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B870DA0B-8B65-0478-F15F-1BD15130A11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dmund viray" refreshedDate="46143.173401851855" createdVersion="8" refreshedVersion="8" minRefreshableVersion="3" recordCount="288" xr:uid="{A4238C22-3BB3-44A5-8C76-6A47271A7D50}">
  <cacheSource type="worksheet">
    <worksheetSource name="ex4C_order_sample"/>
  </cacheSource>
  <cacheFields count="5">
    <cacheField name="Year" numFmtId="0">
      <sharedItems containsSemiMixedTypes="0" containsString="0" containsNumber="1" containsInteger="1" minValue="2022" maxValue="2025" count="4">
        <n v="2022"/>
        <n v="2023"/>
        <n v="2024"/>
        <n v="2025"/>
      </sharedItems>
    </cacheField>
    <cacheField name="Month" numFmtId="0">
      <sharedItems containsSemiMixedTypes="0" containsString="0" containsNumber="1" containsInteger="1" minValue="1" maxValue="12" count="12">
        <n v="1"/>
        <n v="2"/>
        <n v="3"/>
        <n v="4"/>
        <n v="5"/>
        <n v="6"/>
        <n v="7"/>
        <n v="8"/>
        <n v="9"/>
        <n v="10"/>
        <n v="11"/>
        <n v="12"/>
      </sharedItems>
    </cacheField>
    <cacheField name="Category" numFmtId="0">
      <sharedItems count="6">
        <s v="Apparel and Merchandise"/>
        <s v="Art Supplies"/>
        <s v="Books (General)"/>
        <s v="Stationery and Supplies"/>
        <s v="Technology &amp; Accessories"/>
        <s v="Textbooks"/>
      </sharedItems>
    </cacheField>
    <cacheField name="Avg_Transaction_Size" numFmtId="0">
      <sharedItems containsSemiMixedTypes="0" containsString="0" containsNumber="1" minValue="9.18" maxValue="546.71" count="260">
        <n v="34.619999999999997"/>
        <n v="31.57"/>
        <n v="32.28"/>
        <n v="34.97"/>
        <n v="32.82"/>
        <n v="33.86"/>
        <n v="29.89"/>
        <n v="30.61"/>
        <n v="34.56"/>
        <n v="30.89"/>
        <n v="31.17"/>
        <n v="34.6"/>
        <n v="33.42"/>
        <n v="31.25"/>
        <n v="33.6"/>
        <n v="33.14"/>
        <n v="33.43"/>
        <n v="32.659999999999997"/>
        <n v="30.2"/>
        <n v="31.31"/>
        <n v="29.29"/>
        <n v="33.79"/>
        <n v="31.58"/>
        <n v="31.82"/>
        <n v="31.9"/>
        <n v="33.28"/>
        <n v="32.799999999999997"/>
        <n v="33.840000000000003"/>
        <n v="32.61"/>
        <n v="30.21"/>
        <n v="29.43"/>
        <n v="31.53"/>
        <n v="31.89"/>
        <n v="33.08"/>
        <n v="34.36"/>
        <n v="32.36"/>
        <n v="31.43"/>
        <n v="31.66"/>
        <n v="32.42"/>
        <n v="32.33"/>
        <n v="32.83"/>
        <n v="32.08"/>
        <n v="31.27"/>
        <n v="32.35"/>
        <n v="29.47"/>
        <n v="32.51"/>
        <n v="30.83"/>
        <n v="28.78"/>
        <n v="26.08"/>
        <n v="29.18"/>
        <n v="31.88"/>
        <n v="28.03"/>
        <n v="29.52"/>
        <n v="32.01"/>
        <n v="28.02"/>
        <n v="30.81"/>
        <n v="31.59"/>
        <n v="34.340000000000003"/>
        <n v="31.26"/>
        <n v="32.49"/>
        <n v="31.91"/>
        <n v="33.5"/>
        <n v="31.1"/>
        <n v="31.78"/>
        <n v="28.35"/>
        <n v="30.55"/>
        <n v="31.8"/>
        <n v="34.200000000000003"/>
        <n v="31.34"/>
        <n v="32.479999999999997"/>
        <n v="33.270000000000003"/>
        <n v="32"/>
        <n v="31.96"/>
        <n v="31.01"/>
        <n v="32.94"/>
        <n v="34.22"/>
        <n v="33.950000000000003"/>
        <n v="34.590000000000003"/>
        <n v="35.67"/>
        <n v="36.36"/>
        <n v="30.96"/>
        <n v="29.58"/>
        <n v="33.51"/>
        <n v="33.78"/>
        <n v="32.369999999999997"/>
        <n v="30.95"/>
        <n v="26.46"/>
        <n v="29.06"/>
        <n v="23.74"/>
        <n v="26.15"/>
        <n v="28.89"/>
        <n v="29.5"/>
        <n v="30.47"/>
        <n v="29.86"/>
        <n v="29.59"/>
        <n v="28.16"/>
        <n v="26.5"/>
        <n v="34.119999999999997"/>
        <n v="27.11"/>
        <n v="26.37"/>
        <n v="29.94"/>
        <n v="28.51"/>
        <n v="30.91"/>
        <n v="28.52"/>
        <n v="26.69"/>
        <n v="25.54"/>
        <n v="26.35"/>
        <n v="27.78"/>
        <n v="34.450000000000003"/>
        <n v="26.51"/>
        <n v="27.08"/>
        <n v="29.48"/>
        <n v="26.53"/>
        <n v="25.68"/>
        <n v="26.93"/>
        <n v="27.37"/>
        <n v="28.24"/>
        <n v="31.28"/>
        <n v="28.92"/>
        <n v="28.72"/>
        <n v="30.25"/>
        <n v="25.91"/>
        <n v="29.77"/>
        <n v="30.79"/>
        <n v="27.89"/>
        <n v="24.78"/>
        <n v="10.75"/>
        <n v="9.77"/>
        <n v="10.56"/>
        <n v="10.119999999999999"/>
        <n v="10.54"/>
        <n v="10.42"/>
        <n v="9.4700000000000006"/>
        <n v="9.67"/>
        <n v="10.5"/>
        <n v="10.43"/>
        <n v="10.029999999999999"/>
        <n v="9.91"/>
        <n v="10.51"/>
        <n v="9.5"/>
        <n v="10.46"/>
        <n v="10.039999999999999"/>
        <n v="10.39"/>
        <n v="10.11"/>
        <n v="9.59"/>
        <n v="10.17"/>
        <n v="10.59"/>
        <n v="10.02"/>
        <n v="9.7200000000000006"/>
        <n v="9.4499999999999993"/>
        <n v="9.73"/>
        <n v="10.29"/>
        <n v="10"/>
        <n v="10.44"/>
        <n v="9.58"/>
        <n v="10.15"/>
        <n v="9.68"/>
        <n v="9.49"/>
        <n v="10.07"/>
        <n v="9.18"/>
        <n v="9.9"/>
        <n v="9.92"/>
        <n v="10.19"/>
        <n v="10.36"/>
        <n v="10.28"/>
        <n v="9.93"/>
        <n v="10.16"/>
        <n v="10.32"/>
        <n v="447.26"/>
        <n v="393.35"/>
        <n v="440.32"/>
        <n v="492.53"/>
        <n v="488.73"/>
        <n v="419.87"/>
        <n v="473.78"/>
        <n v="516.62"/>
        <n v="405.92"/>
        <n v="525.9"/>
        <n v="398.56"/>
        <n v="546.71"/>
        <n v="493.62"/>
        <n v="446.62"/>
        <n v="469.52"/>
        <n v="431.44"/>
        <n v="465.07"/>
        <n v="420.68"/>
        <n v="436.47"/>
        <n v="457.44"/>
        <n v="440.61"/>
        <n v="444.63"/>
        <n v="437.86"/>
        <n v="393.53"/>
        <n v="450.74"/>
        <n v="469.47"/>
        <n v="422.34"/>
        <n v="475.99"/>
        <n v="417.57"/>
        <n v="439.59"/>
        <n v="434.14"/>
        <n v="450.72"/>
        <n v="439.44"/>
        <n v="390.56"/>
        <n v="512.84"/>
        <n v="512.62"/>
        <n v="432.54"/>
        <n v="475.97"/>
        <n v="487.16"/>
        <n v="474.77"/>
        <n v="523.46"/>
        <n v="484.66"/>
        <n v="533.88"/>
        <n v="456.77"/>
        <n v="443.01"/>
        <n v="466.28"/>
        <n v="166.24"/>
        <n v="183.69"/>
        <n v="179.89"/>
        <n v="178.71"/>
        <n v="181.72"/>
        <n v="181.43"/>
        <n v="187.6"/>
        <n v="177"/>
        <n v="181.74"/>
        <n v="178.51"/>
        <n v="181.23"/>
        <n v="186.84"/>
        <n v="168.03"/>
        <n v="163.34"/>
        <n v="170.74"/>
        <n v="171.01"/>
        <n v="174.18"/>
        <n v="174.35"/>
        <n v="176.83"/>
        <n v="170.15"/>
        <n v="168.38"/>
        <n v="176.06"/>
        <n v="165.57"/>
        <n v="180.37"/>
        <n v="164.83"/>
        <n v="170.61"/>
        <n v="170.86"/>
        <n v="174.46"/>
        <n v="174.52"/>
        <n v="176.67"/>
        <n v="168.07"/>
        <n v="176.69"/>
        <n v="165.92"/>
        <n v="180.13"/>
        <n v="172.6"/>
        <n v="162.68"/>
        <n v="176.22"/>
        <n v="175.25"/>
        <n v="170.68"/>
        <n v="170.1"/>
        <n v="160.03"/>
        <n v="171.45"/>
        <n v="164.19"/>
        <n v="165.73"/>
        <n v="160"/>
        <n v="169.12"/>
      </sharedItems>
    </cacheField>
    <cacheField name="Transactions" numFmtId="0">
      <sharedItems containsSemiMixedTypes="0" containsString="0" containsNumber="1" containsInteger="1" minValue="32" maxValue="422" count="155">
        <n v="79"/>
        <n v="82"/>
        <n v="87"/>
        <n v="94"/>
        <n v="85"/>
        <n v="78"/>
        <n v="86"/>
        <n v="104"/>
        <n v="93"/>
        <n v="89"/>
        <n v="115"/>
        <n v="134"/>
        <n v="159"/>
        <n v="156"/>
        <n v="140"/>
        <n v="146"/>
        <n v="114"/>
        <n v="120"/>
        <n v="117"/>
        <n v="129"/>
        <n v="151"/>
        <n v="145"/>
        <n v="161"/>
        <n v="135"/>
        <n v="148"/>
        <n v="112"/>
        <n v="124"/>
        <n v="110"/>
        <n v="123"/>
        <n v="209"/>
        <n v="208"/>
        <n v="243"/>
        <n v="343"/>
        <n v="318"/>
        <n v="223"/>
        <n v="207"/>
        <n v="212"/>
        <n v="328"/>
        <n v="247"/>
        <n v="257"/>
        <n v="72"/>
        <n v="73"/>
        <n v="70"/>
        <n v="83"/>
        <n v="76"/>
        <n v="96"/>
        <n v="57"/>
        <n v="67"/>
        <n v="77"/>
        <n v="71"/>
        <n v="108"/>
        <n v="111"/>
        <n v="118"/>
        <n v="103"/>
        <n v="98"/>
        <n v="132"/>
        <n v="116"/>
        <n v="122"/>
        <n v="102"/>
        <n v="127"/>
        <n v="105"/>
        <n v="216"/>
        <n v="211"/>
        <n v="206"/>
        <n v="255"/>
        <n v="269"/>
        <n v="254"/>
        <n v="138"/>
        <n v="155"/>
        <n v="168"/>
        <n v="296"/>
        <n v="180"/>
        <n v="189"/>
        <n v="40"/>
        <n v="35"/>
        <n v="39"/>
        <n v="42"/>
        <n v="32"/>
        <n v="37"/>
        <n v="36"/>
        <n v="38"/>
        <n v="41"/>
        <n v="45"/>
        <n v="52"/>
        <n v="49"/>
        <n v="61"/>
        <n v="64"/>
        <n v="51"/>
        <n v="56"/>
        <n v="63"/>
        <n v="55"/>
        <n v="66"/>
        <n v="91"/>
        <n v="152"/>
        <n v="133"/>
        <n v="80"/>
        <n v="88"/>
        <n v="100"/>
        <n v="106"/>
        <n v="97"/>
        <n v="95"/>
        <n v="107"/>
        <n v="150"/>
        <n v="143"/>
        <n v="167"/>
        <n v="160"/>
        <n v="147"/>
        <n v="154"/>
        <n v="173"/>
        <n v="162"/>
        <n v="130"/>
        <n v="153"/>
        <n v="274"/>
        <n v="268"/>
        <n v="265"/>
        <n v="360"/>
        <n v="374"/>
        <n v="393"/>
        <n v="229"/>
        <n v="242"/>
        <n v="232"/>
        <n v="377"/>
        <n v="227"/>
        <n v="99"/>
        <n v="101"/>
        <n v="119"/>
        <n v="113"/>
        <n v="109"/>
        <n v="185"/>
        <n v="141"/>
        <n v="166"/>
        <n v="169"/>
        <n v="158"/>
        <n v="139"/>
        <n v="175"/>
        <n v="183"/>
        <n v="228"/>
        <n v="199"/>
        <n v="234"/>
        <n v="181"/>
        <n v="217"/>
        <n v="238"/>
        <n v="422"/>
        <n v="250"/>
        <n v="281"/>
        <n v="84"/>
        <n v="81"/>
        <n v="128"/>
        <n v="137"/>
        <n v="68"/>
        <n v="144"/>
        <n v="164"/>
        <n v="187"/>
        <n v="131"/>
        <n v="126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dmund viray" refreshedDate="46143.24672372685" createdVersion="8" refreshedVersion="8" minRefreshableVersion="3" recordCount="48" xr:uid="{C9573194-8192-4CD1-BC48-C22F50F30CF0}">
  <cacheSource type="worksheet">
    <worksheetSource name="ex4C_order_sample2__2"/>
  </cacheSource>
  <cacheFields count="3">
    <cacheField name="Year" numFmtId="0">
      <sharedItems containsSemiMixedTypes="0" containsString="0" containsNumber="1" containsInteger="1" minValue="2022" maxValue="2025" count="4">
        <n v="2022"/>
        <n v="2023"/>
        <n v="2024"/>
        <n v="2025"/>
      </sharedItems>
    </cacheField>
    <cacheField name="Month" numFmtId="0">
      <sharedItems containsSemiMixedTypes="0" containsString="0" containsNumber="1" containsInteger="1" minValue="1" maxValue="12" count="12">
        <n v="1"/>
        <n v="2"/>
        <n v="3"/>
        <n v="4"/>
        <n v="5"/>
        <n v="6"/>
        <n v="7"/>
        <n v="8"/>
        <n v="9"/>
        <n v="10"/>
        <n v="11"/>
        <n v="12"/>
      </sharedItems>
    </cacheField>
    <cacheField name="Monthly_Revenue" numFmtId="0">
      <sharedItems containsSemiMixedTypes="0" containsString="0" containsNumber="1" minValue="63225.69" maxValue="250830.46" count="46">
        <n v="70597.509999999995"/>
        <n v="63225.69"/>
        <n v="64779.71"/>
        <n v="78465.399999999994"/>
        <n v="73037.02"/>
        <n v="66868.55"/>
        <n v="72096.47"/>
        <n v="73904.91"/>
        <n v="77869.16"/>
        <n v="83610.78"/>
        <n v="70526.89"/>
        <n v="84464.75"/>
        <n v="115439.64"/>
        <n v="91815.52"/>
        <n v="101529.42"/>
        <n v="94095.22"/>
        <n v="93011.83"/>
        <n v="88203.9"/>
        <n v="98822.98"/>
        <n v="107203.9"/>
        <n v="95680.79"/>
        <n v="108715.83"/>
        <n v="106648.71"/>
        <n v="111495.71"/>
        <n v="99272.17"/>
        <n v="96699.78"/>
        <n v="95231.21"/>
        <n v="91875.839999999997"/>
        <n v="89476.87"/>
        <n v="97550.01"/>
        <n v="98470.41"/>
        <n v="105926.21"/>
        <n v="110232.92"/>
        <n v="107911.5"/>
        <n v="148558.26"/>
        <n v="131102.07999999999"/>
        <n v="138083.24"/>
        <n v="138626.23999999999"/>
        <n v="133865.16"/>
        <n v="144521.48000000001"/>
        <n v="149097.1"/>
        <n v="151923.99"/>
        <n v="163449.78"/>
        <n v="250830.46"/>
        <n v="146953.32999999999"/>
        <n v="170994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88">
  <r>
    <x v="0"/>
    <x v="0"/>
    <x v="0"/>
    <x v="0"/>
    <x v="0"/>
  </r>
  <r>
    <x v="0"/>
    <x v="1"/>
    <x v="0"/>
    <x v="1"/>
    <x v="1"/>
  </r>
  <r>
    <x v="0"/>
    <x v="2"/>
    <x v="0"/>
    <x v="2"/>
    <x v="2"/>
  </r>
  <r>
    <x v="0"/>
    <x v="3"/>
    <x v="0"/>
    <x v="3"/>
    <x v="1"/>
  </r>
  <r>
    <x v="0"/>
    <x v="4"/>
    <x v="0"/>
    <x v="4"/>
    <x v="3"/>
  </r>
  <r>
    <x v="0"/>
    <x v="5"/>
    <x v="0"/>
    <x v="5"/>
    <x v="4"/>
  </r>
  <r>
    <x v="0"/>
    <x v="6"/>
    <x v="0"/>
    <x v="6"/>
    <x v="5"/>
  </r>
  <r>
    <x v="0"/>
    <x v="7"/>
    <x v="0"/>
    <x v="7"/>
    <x v="6"/>
  </r>
  <r>
    <x v="0"/>
    <x v="8"/>
    <x v="0"/>
    <x v="8"/>
    <x v="7"/>
  </r>
  <r>
    <x v="0"/>
    <x v="9"/>
    <x v="0"/>
    <x v="9"/>
    <x v="8"/>
  </r>
  <r>
    <x v="0"/>
    <x v="10"/>
    <x v="0"/>
    <x v="10"/>
    <x v="9"/>
  </r>
  <r>
    <x v="0"/>
    <x v="11"/>
    <x v="0"/>
    <x v="11"/>
    <x v="4"/>
  </r>
  <r>
    <x v="1"/>
    <x v="0"/>
    <x v="0"/>
    <x v="12"/>
    <x v="10"/>
  </r>
  <r>
    <x v="1"/>
    <x v="1"/>
    <x v="0"/>
    <x v="13"/>
    <x v="11"/>
  </r>
  <r>
    <x v="1"/>
    <x v="2"/>
    <x v="0"/>
    <x v="14"/>
    <x v="12"/>
  </r>
  <r>
    <x v="1"/>
    <x v="3"/>
    <x v="0"/>
    <x v="15"/>
    <x v="13"/>
  </r>
  <r>
    <x v="1"/>
    <x v="4"/>
    <x v="0"/>
    <x v="16"/>
    <x v="14"/>
  </r>
  <r>
    <x v="1"/>
    <x v="5"/>
    <x v="0"/>
    <x v="17"/>
    <x v="15"/>
  </r>
  <r>
    <x v="1"/>
    <x v="6"/>
    <x v="0"/>
    <x v="18"/>
    <x v="16"/>
  </r>
  <r>
    <x v="1"/>
    <x v="7"/>
    <x v="0"/>
    <x v="19"/>
    <x v="14"/>
  </r>
  <r>
    <x v="1"/>
    <x v="8"/>
    <x v="0"/>
    <x v="20"/>
    <x v="17"/>
  </r>
  <r>
    <x v="1"/>
    <x v="9"/>
    <x v="0"/>
    <x v="21"/>
    <x v="16"/>
  </r>
  <r>
    <x v="1"/>
    <x v="10"/>
    <x v="0"/>
    <x v="22"/>
    <x v="18"/>
  </r>
  <r>
    <x v="1"/>
    <x v="11"/>
    <x v="0"/>
    <x v="23"/>
    <x v="19"/>
  </r>
  <r>
    <x v="2"/>
    <x v="0"/>
    <x v="0"/>
    <x v="24"/>
    <x v="20"/>
  </r>
  <r>
    <x v="2"/>
    <x v="1"/>
    <x v="0"/>
    <x v="25"/>
    <x v="21"/>
  </r>
  <r>
    <x v="2"/>
    <x v="2"/>
    <x v="0"/>
    <x v="26"/>
    <x v="22"/>
  </r>
  <r>
    <x v="2"/>
    <x v="3"/>
    <x v="0"/>
    <x v="27"/>
    <x v="23"/>
  </r>
  <r>
    <x v="2"/>
    <x v="4"/>
    <x v="0"/>
    <x v="28"/>
    <x v="24"/>
  </r>
  <r>
    <x v="2"/>
    <x v="5"/>
    <x v="0"/>
    <x v="29"/>
    <x v="25"/>
  </r>
  <r>
    <x v="2"/>
    <x v="6"/>
    <x v="0"/>
    <x v="19"/>
    <x v="14"/>
  </r>
  <r>
    <x v="2"/>
    <x v="7"/>
    <x v="0"/>
    <x v="30"/>
    <x v="26"/>
  </r>
  <r>
    <x v="2"/>
    <x v="8"/>
    <x v="0"/>
    <x v="21"/>
    <x v="27"/>
  </r>
  <r>
    <x v="2"/>
    <x v="9"/>
    <x v="0"/>
    <x v="31"/>
    <x v="28"/>
  </r>
  <r>
    <x v="2"/>
    <x v="10"/>
    <x v="0"/>
    <x v="32"/>
    <x v="28"/>
  </r>
  <r>
    <x v="2"/>
    <x v="11"/>
    <x v="0"/>
    <x v="12"/>
    <x v="10"/>
  </r>
  <r>
    <x v="3"/>
    <x v="0"/>
    <x v="0"/>
    <x v="33"/>
    <x v="29"/>
  </r>
  <r>
    <x v="3"/>
    <x v="1"/>
    <x v="0"/>
    <x v="34"/>
    <x v="30"/>
  </r>
  <r>
    <x v="3"/>
    <x v="2"/>
    <x v="0"/>
    <x v="22"/>
    <x v="31"/>
  </r>
  <r>
    <x v="3"/>
    <x v="3"/>
    <x v="0"/>
    <x v="35"/>
    <x v="32"/>
  </r>
  <r>
    <x v="3"/>
    <x v="4"/>
    <x v="0"/>
    <x v="36"/>
    <x v="32"/>
  </r>
  <r>
    <x v="3"/>
    <x v="5"/>
    <x v="0"/>
    <x v="37"/>
    <x v="33"/>
  </r>
  <r>
    <x v="3"/>
    <x v="6"/>
    <x v="0"/>
    <x v="38"/>
    <x v="34"/>
  </r>
  <r>
    <x v="3"/>
    <x v="7"/>
    <x v="0"/>
    <x v="39"/>
    <x v="35"/>
  </r>
  <r>
    <x v="3"/>
    <x v="8"/>
    <x v="0"/>
    <x v="40"/>
    <x v="36"/>
  </r>
  <r>
    <x v="3"/>
    <x v="9"/>
    <x v="0"/>
    <x v="41"/>
    <x v="37"/>
  </r>
  <r>
    <x v="3"/>
    <x v="10"/>
    <x v="0"/>
    <x v="2"/>
    <x v="38"/>
  </r>
  <r>
    <x v="3"/>
    <x v="11"/>
    <x v="0"/>
    <x v="42"/>
    <x v="39"/>
  </r>
  <r>
    <x v="0"/>
    <x v="0"/>
    <x v="1"/>
    <x v="43"/>
    <x v="40"/>
  </r>
  <r>
    <x v="0"/>
    <x v="1"/>
    <x v="1"/>
    <x v="44"/>
    <x v="41"/>
  </r>
  <r>
    <x v="0"/>
    <x v="2"/>
    <x v="1"/>
    <x v="45"/>
    <x v="42"/>
  </r>
  <r>
    <x v="0"/>
    <x v="3"/>
    <x v="1"/>
    <x v="46"/>
    <x v="43"/>
  </r>
  <r>
    <x v="0"/>
    <x v="4"/>
    <x v="1"/>
    <x v="47"/>
    <x v="44"/>
  </r>
  <r>
    <x v="0"/>
    <x v="5"/>
    <x v="1"/>
    <x v="48"/>
    <x v="45"/>
  </r>
  <r>
    <x v="0"/>
    <x v="6"/>
    <x v="1"/>
    <x v="49"/>
    <x v="46"/>
  </r>
  <r>
    <x v="0"/>
    <x v="7"/>
    <x v="1"/>
    <x v="50"/>
    <x v="47"/>
  </r>
  <r>
    <x v="0"/>
    <x v="8"/>
    <x v="1"/>
    <x v="51"/>
    <x v="48"/>
  </r>
  <r>
    <x v="0"/>
    <x v="9"/>
    <x v="1"/>
    <x v="52"/>
    <x v="49"/>
  </r>
  <r>
    <x v="0"/>
    <x v="10"/>
    <x v="1"/>
    <x v="53"/>
    <x v="41"/>
  </r>
  <r>
    <x v="0"/>
    <x v="11"/>
    <x v="1"/>
    <x v="20"/>
    <x v="1"/>
  </r>
  <r>
    <x v="1"/>
    <x v="0"/>
    <x v="1"/>
    <x v="34"/>
    <x v="50"/>
  </r>
  <r>
    <x v="1"/>
    <x v="1"/>
    <x v="1"/>
    <x v="54"/>
    <x v="51"/>
  </r>
  <r>
    <x v="1"/>
    <x v="2"/>
    <x v="1"/>
    <x v="55"/>
    <x v="25"/>
  </r>
  <r>
    <x v="1"/>
    <x v="3"/>
    <x v="1"/>
    <x v="56"/>
    <x v="52"/>
  </r>
  <r>
    <x v="1"/>
    <x v="4"/>
    <x v="1"/>
    <x v="57"/>
    <x v="53"/>
  </r>
  <r>
    <x v="1"/>
    <x v="5"/>
    <x v="1"/>
    <x v="58"/>
    <x v="54"/>
  </r>
  <r>
    <x v="1"/>
    <x v="6"/>
    <x v="1"/>
    <x v="59"/>
    <x v="55"/>
  </r>
  <r>
    <x v="1"/>
    <x v="7"/>
    <x v="1"/>
    <x v="60"/>
    <x v="18"/>
  </r>
  <r>
    <x v="1"/>
    <x v="8"/>
    <x v="1"/>
    <x v="61"/>
    <x v="25"/>
  </r>
  <r>
    <x v="1"/>
    <x v="9"/>
    <x v="1"/>
    <x v="23"/>
    <x v="56"/>
  </r>
  <r>
    <x v="1"/>
    <x v="10"/>
    <x v="1"/>
    <x v="62"/>
    <x v="53"/>
  </r>
  <r>
    <x v="1"/>
    <x v="11"/>
    <x v="1"/>
    <x v="63"/>
    <x v="18"/>
  </r>
  <r>
    <x v="2"/>
    <x v="0"/>
    <x v="1"/>
    <x v="64"/>
    <x v="57"/>
  </r>
  <r>
    <x v="2"/>
    <x v="1"/>
    <x v="1"/>
    <x v="65"/>
    <x v="58"/>
  </r>
  <r>
    <x v="2"/>
    <x v="2"/>
    <x v="1"/>
    <x v="66"/>
    <x v="28"/>
  </r>
  <r>
    <x v="2"/>
    <x v="3"/>
    <x v="1"/>
    <x v="67"/>
    <x v="54"/>
  </r>
  <r>
    <x v="2"/>
    <x v="4"/>
    <x v="1"/>
    <x v="68"/>
    <x v="53"/>
  </r>
  <r>
    <x v="2"/>
    <x v="5"/>
    <x v="1"/>
    <x v="69"/>
    <x v="59"/>
  </r>
  <r>
    <x v="2"/>
    <x v="6"/>
    <x v="1"/>
    <x v="60"/>
    <x v="18"/>
  </r>
  <r>
    <x v="2"/>
    <x v="7"/>
    <x v="1"/>
    <x v="70"/>
    <x v="56"/>
  </r>
  <r>
    <x v="2"/>
    <x v="8"/>
    <x v="1"/>
    <x v="71"/>
    <x v="25"/>
  </r>
  <r>
    <x v="2"/>
    <x v="9"/>
    <x v="1"/>
    <x v="72"/>
    <x v="60"/>
  </r>
  <r>
    <x v="2"/>
    <x v="10"/>
    <x v="1"/>
    <x v="73"/>
    <x v="10"/>
  </r>
  <r>
    <x v="2"/>
    <x v="11"/>
    <x v="1"/>
    <x v="34"/>
    <x v="50"/>
  </r>
  <r>
    <x v="3"/>
    <x v="0"/>
    <x v="1"/>
    <x v="74"/>
    <x v="61"/>
  </r>
  <r>
    <x v="3"/>
    <x v="1"/>
    <x v="1"/>
    <x v="37"/>
    <x v="62"/>
  </r>
  <r>
    <x v="3"/>
    <x v="2"/>
    <x v="1"/>
    <x v="75"/>
    <x v="63"/>
  </r>
  <r>
    <x v="3"/>
    <x v="3"/>
    <x v="1"/>
    <x v="76"/>
    <x v="64"/>
  </r>
  <r>
    <x v="3"/>
    <x v="4"/>
    <x v="1"/>
    <x v="77"/>
    <x v="65"/>
  </r>
  <r>
    <x v="3"/>
    <x v="5"/>
    <x v="1"/>
    <x v="78"/>
    <x v="66"/>
  </r>
  <r>
    <x v="3"/>
    <x v="6"/>
    <x v="1"/>
    <x v="79"/>
    <x v="67"/>
  </r>
  <r>
    <x v="3"/>
    <x v="7"/>
    <x v="1"/>
    <x v="80"/>
    <x v="68"/>
  </r>
  <r>
    <x v="3"/>
    <x v="8"/>
    <x v="1"/>
    <x v="69"/>
    <x v="69"/>
  </r>
  <r>
    <x v="3"/>
    <x v="9"/>
    <x v="1"/>
    <x v="81"/>
    <x v="70"/>
  </r>
  <r>
    <x v="3"/>
    <x v="10"/>
    <x v="1"/>
    <x v="82"/>
    <x v="71"/>
  </r>
  <r>
    <x v="3"/>
    <x v="11"/>
    <x v="1"/>
    <x v="83"/>
    <x v="72"/>
  </r>
  <r>
    <x v="0"/>
    <x v="0"/>
    <x v="2"/>
    <x v="84"/>
    <x v="73"/>
  </r>
  <r>
    <x v="0"/>
    <x v="1"/>
    <x v="2"/>
    <x v="85"/>
    <x v="74"/>
  </r>
  <r>
    <x v="0"/>
    <x v="2"/>
    <x v="2"/>
    <x v="86"/>
    <x v="75"/>
  </r>
  <r>
    <x v="0"/>
    <x v="3"/>
    <x v="2"/>
    <x v="87"/>
    <x v="76"/>
  </r>
  <r>
    <x v="0"/>
    <x v="4"/>
    <x v="2"/>
    <x v="88"/>
    <x v="77"/>
  </r>
  <r>
    <x v="0"/>
    <x v="5"/>
    <x v="2"/>
    <x v="89"/>
    <x v="78"/>
  </r>
  <r>
    <x v="0"/>
    <x v="6"/>
    <x v="2"/>
    <x v="90"/>
    <x v="79"/>
  </r>
  <r>
    <x v="0"/>
    <x v="7"/>
    <x v="2"/>
    <x v="91"/>
    <x v="80"/>
  </r>
  <r>
    <x v="0"/>
    <x v="8"/>
    <x v="2"/>
    <x v="92"/>
    <x v="75"/>
  </r>
  <r>
    <x v="0"/>
    <x v="9"/>
    <x v="2"/>
    <x v="93"/>
    <x v="81"/>
  </r>
  <r>
    <x v="0"/>
    <x v="10"/>
    <x v="2"/>
    <x v="94"/>
    <x v="74"/>
  </r>
  <r>
    <x v="0"/>
    <x v="11"/>
    <x v="2"/>
    <x v="95"/>
    <x v="82"/>
  </r>
  <r>
    <x v="1"/>
    <x v="0"/>
    <x v="2"/>
    <x v="96"/>
    <x v="83"/>
  </r>
  <r>
    <x v="1"/>
    <x v="1"/>
    <x v="2"/>
    <x v="97"/>
    <x v="84"/>
  </r>
  <r>
    <x v="1"/>
    <x v="2"/>
    <x v="2"/>
    <x v="98"/>
    <x v="85"/>
  </r>
  <r>
    <x v="1"/>
    <x v="3"/>
    <x v="2"/>
    <x v="99"/>
    <x v="83"/>
  </r>
  <r>
    <x v="1"/>
    <x v="4"/>
    <x v="2"/>
    <x v="100"/>
    <x v="86"/>
  </r>
  <r>
    <x v="1"/>
    <x v="5"/>
    <x v="2"/>
    <x v="101"/>
    <x v="85"/>
  </r>
  <r>
    <x v="1"/>
    <x v="6"/>
    <x v="2"/>
    <x v="102"/>
    <x v="87"/>
  </r>
  <r>
    <x v="1"/>
    <x v="7"/>
    <x v="2"/>
    <x v="103"/>
    <x v="46"/>
  </r>
  <r>
    <x v="1"/>
    <x v="8"/>
    <x v="2"/>
    <x v="104"/>
    <x v="88"/>
  </r>
  <r>
    <x v="1"/>
    <x v="9"/>
    <x v="2"/>
    <x v="105"/>
    <x v="46"/>
  </r>
  <r>
    <x v="1"/>
    <x v="10"/>
    <x v="2"/>
    <x v="106"/>
    <x v="89"/>
  </r>
  <r>
    <x v="1"/>
    <x v="11"/>
    <x v="2"/>
    <x v="107"/>
    <x v="6"/>
  </r>
  <r>
    <x v="2"/>
    <x v="0"/>
    <x v="2"/>
    <x v="108"/>
    <x v="46"/>
  </r>
  <r>
    <x v="2"/>
    <x v="1"/>
    <x v="2"/>
    <x v="109"/>
    <x v="46"/>
  </r>
  <r>
    <x v="2"/>
    <x v="2"/>
    <x v="2"/>
    <x v="110"/>
    <x v="90"/>
  </r>
  <r>
    <x v="2"/>
    <x v="3"/>
    <x v="2"/>
    <x v="111"/>
    <x v="85"/>
  </r>
  <r>
    <x v="2"/>
    <x v="4"/>
    <x v="2"/>
    <x v="101"/>
    <x v="85"/>
  </r>
  <r>
    <x v="2"/>
    <x v="5"/>
    <x v="2"/>
    <x v="102"/>
    <x v="87"/>
  </r>
  <r>
    <x v="2"/>
    <x v="6"/>
    <x v="2"/>
    <x v="103"/>
    <x v="46"/>
  </r>
  <r>
    <x v="2"/>
    <x v="7"/>
    <x v="2"/>
    <x v="112"/>
    <x v="46"/>
  </r>
  <r>
    <x v="2"/>
    <x v="8"/>
    <x v="2"/>
    <x v="113"/>
    <x v="88"/>
  </r>
  <r>
    <x v="2"/>
    <x v="9"/>
    <x v="2"/>
    <x v="114"/>
    <x v="91"/>
  </r>
  <r>
    <x v="2"/>
    <x v="10"/>
    <x v="2"/>
    <x v="115"/>
    <x v="43"/>
  </r>
  <r>
    <x v="2"/>
    <x v="11"/>
    <x v="2"/>
    <x v="96"/>
    <x v="83"/>
  </r>
  <r>
    <x v="3"/>
    <x v="0"/>
    <x v="2"/>
    <x v="116"/>
    <x v="27"/>
  </r>
  <r>
    <x v="3"/>
    <x v="1"/>
    <x v="2"/>
    <x v="117"/>
    <x v="52"/>
  </r>
  <r>
    <x v="3"/>
    <x v="2"/>
    <x v="2"/>
    <x v="63"/>
    <x v="92"/>
  </r>
  <r>
    <x v="3"/>
    <x v="3"/>
    <x v="2"/>
    <x v="118"/>
    <x v="93"/>
  </r>
  <r>
    <x v="3"/>
    <x v="4"/>
    <x v="2"/>
    <x v="62"/>
    <x v="94"/>
  </r>
  <r>
    <x v="3"/>
    <x v="5"/>
    <x v="2"/>
    <x v="119"/>
    <x v="59"/>
  </r>
  <r>
    <x v="3"/>
    <x v="6"/>
    <x v="2"/>
    <x v="120"/>
    <x v="1"/>
  </r>
  <r>
    <x v="3"/>
    <x v="7"/>
    <x v="2"/>
    <x v="121"/>
    <x v="95"/>
  </r>
  <r>
    <x v="3"/>
    <x v="8"/>
    <x v="2"/>
    <x v="122"/>
    <x v="48"/>
  </r>
  <r>
    <x v="3"/>
    <x v="9"/>
    <x v="2"/>
    <x v="123"/>
    <x v="19"/>
  </r>
  <r>
    <x v="3"/>
    <x v="10"/>
    <x v="2"/>
    <x v="124"/>
    <x v="96"/>
  </r>
  <r>
    <x v="3"/>
    <x v="11"/>
    <x v="2"/>
    <x v="125"/>
    <x v="5"/>
  </r>
  <r>
    <x v="0"/>
    <x v="0"/>
    <x v="3"/>
    <x v="126"/>
    <x v="97"/>
  </r>
  <r>
    <x v="0"/>
    <x v="1"/>
    <x v="3"/>
    <x v="127"/>
    <x v="98"/>
  </r>
  <r>
    <x v="0"/>
    <x v="2"/>
    <x v="3"/>
    <x v="128"/>
    <x v="92"/>
  </r>
  <r>
    <x v="0"/>
    <x v="3"/>
    <x v="3"/>
    <x v="129"/>
    <x v="99"/>
  </r>
  <r>
    <x v="0"/>
    <x v="4"/>
    <x v="3"/>
    <x v="130"/>
    <x v="58"/>
  </r>
  <r>
    <x v="0"/>
    <x v="5"/>
    <x v="3"/>
    <x v="131"/>
    <x v="100"/>
  </r>
  <r>
    <x v="0"/>
    <x v="6"/>
    <x v="3"/>
    <x v="132"/>
    <x v="101"/>
  </r>
  <r>
    <x v="0"/>
    <x v="7"/>
    <x v="3"/>
    <x v="133"/>
    <x v="51"/>
  </r>
  <r>
    <x v="0"/>
    <x v="8"/>
    <x v="3"/>
    <x v="134"/>
    <x v="100"/>
  </r>
  <r>
    <x v="0"/>
    <x v="9"/>
    <x v="3"/>
    <x v="135"/>
    <x v="56"/>
  </r>
  <r>
    <x v="0"/>
    <x v="10"/>
    <x v="3"/>
    <x v="136"/>
    <x v="97"/>
  </r>
  <r>
    <x v="0"/>
    <x v="11"/>
    <x v="3"/>
    <x v="137"/>
    <x v="97"/>
  </r>
  <r>
    <x v="1"/>
    <x v="0"/>
    <x v="3"/>
    <x v="138"/>
    <x v="102"/>
  </r>
  <r>
    <x v="1"/>
    <x v="1"/>
    <x v="3"/>
    <x v="139"/>
    <x v="103"/>
  </r>
  <r>
    <x v="1"/>
    <x v="2"/>
    <x v="3"/>
    <x v="140"/>
    <x v="57"/>
  </r>
  <r>
    <x v="1"/>
    <x v="3"/>
    <x v="3"/>
    <x v="141"/>
    <x v="104"/>
  </r>
  <r>
    <x v="1"/>
    <x v="4"/>
    <x v="3"/>
    <x v="142"/>
    <x v="20"/>
  </r>
  <r>
    <x v="1"/>
    <x v="5"/>
    <x v="3"/>
    <x v="143"/>
    <x v="105"/>
  </r>
  <r>
    <x v="1"/>
    <x v="6"/>
    <x v="3"/>
    <x v="144"/>
    <x v="55"/>
  </r>
  <r>
    <x v="1"/>
    <x v="7"/>
    <x v="3"/>
    <x v="145"/>
    <x v="68"/>
  </r>
  <r>
    <x v="1"/>
    <x v="8"/>
    <x v="3"/>
    <x v="146"/>
    <x v="106"/>
  </r>
  <r>
    <x v="1"/>
    <x v="9"/>
    <x v="3"/>
    <x v="147"/>
    <x v="22"/>
  </r>
  <r>
    <x v="1"/>
    <x v="10"/>
    <x v="3"/>
    <x v="148"/>
    <x v="21"/>
  </r>
  <r>
    <x v="1"/>
    <x v="11"/>
    <x v="3"/>
    <x v="149"/>
    <x v="13"/>
  </r>
  <r>
    <x v="2"/>
    <x v="0"/>
    <x v="3"/>
    <x v="150"/>
    <x v="107"/>
  </r>
  <r>
    <x v="2"/>
    <x v="1"/>
    <x v="3"/>
    <x v="151"/>
    <x v="16"/>
  </r>
  <r>
    <x v="2"/>
    <x v="2"/>
    <x v="3"/>
    <x v="152"/>
    <x v="108"/>
  </r>
  <r>
    <x v="2"/>
    <x v="3"/>
    <x v="3"/>
    <x v="153"/>
    <x v="21"/>
  </r>
  <r>
    <x v="2"/>
    <x v="4"/>
    <x v="3"/>
    <x v="143"/>
    <x v="109"/>
  </r>
  <r>
    <x v="2"/>
    <x v="5"/>
    <x v="3"/>
    <x v="154"/>
    <x v="110"/>
  </r>
  <r>
    <x v="2"/>
    <x v="6"/>
    <x v="3"/>
    <x v="145"/>
    <x v="68"/>
  </r>
  <r>
    <x v="2"/>
    <x v="7"/>
    <x v="3"/>
    <x v="135"/>
    <x v="111"/>
  </r>
  <r>
    <x v="2"/>
    <x v="8"/>
    <x v="3"/>
    <x v="155"/>
    <x v="68"/>
  </r>
  <r>
    <x v="2"/>
    <x v="9"/>
    <x v="3"/>
    <x v="156"/>
    <x v="106"/>
  </r>
  <r>
    <x v="2"/>
    <x v="10"/>
    <x v="3"/>
    <x v="157"/>
    <x v="107"/>
  </r>
  <r>
    <x v="2"/>
    <x v="11"/>
    <x v="3"/>
    <x v="138"/>
    <x v="102"/>
  </r>
  <r>
    <x v="3"/>
    <x v="0"/>
    <x v="3"/>
    <x v="158"/>
    <x v="112"/>
  </r>
  <r>
    <x v="3"/>
    <x v="1"/>
    <x v="3"/>
    <x v="159"/>
    <x v="113"/>
  </r>
  <r>
    <x v="3"/>
    <x v="2"/>
    <x v="3"/>
    <x v="155"/>
    <x v="114"/>
  </r>
  <r>
    <x v="3"/>
    <x v="3"/>
    <x v="3"/>
    <x v="160"/>
    <x v="115"/>
  </r>
  <r>
    <x v="3"/>
    <x v="4"/>
    <x v="3"/>
    <x v="161"/>
    <x v="116"/>
  </r>
  <r>
    <x v="3"/>
    <x v="5"/>
    <x v="3"/>
    <x v="162"/>
    <x v="117"/>
  </r>
  <r>
    <x v="3"/>
    <x v="6"/>
    <x v="3"/>
    <x v="163"/>
    <x v="118"/>
  </r>
  <r>
    <x v="3"/>
    <x v="7"/>
    <x v="3"/>
    <x v="164"/>
    <x v="119"/>
  </r>
  <r>
    <x v="3"/>
    <x v="8"/>
    <x v="3"/>
    <x v="165"/>
    <x v="120"/>
  </r>
  <r>
    <x v="3"/>
    <x v="9"/>
    <x v="3"/>
    <x v="166"/>
    <x v="121"/>
  </r>
  <r>
    <x v="3"/>
    <x v="10"/>
    <x v="3"/>
    <x v="167"/>
    <x v="34"/>
  </r>
  <r>
    <x v="3"/>
    <x v="11"/>
    <x v="3"/>
    <x v="145"/>
    <x v="122"/>
  </r>
  <r>
    <x v="0"/>
    <x v="0"/>
    <x v="4"/>
    <x v="168"/>
    <x v="27"/>
  </r>
  <r>
    <x v="0"/>
    <x v="1"/>
    <x v="4"/>
    <x v="169"/>
    <x v="54"/>
  </r>
  <r>
    <x v="0"/>
    <x v="2"/>
    <x v="4"/>
    <x v="170"/>
    <x v="97"/>
  </r>
  <r>
    <x v="0"/>
    <x v="3"/>
    <x v="4"/>
    <x v="171"/>
    <x v="60"/>
  </r>
  <r>
    <x v="0"/>
    <x v="4"/>
    <x v="4"/>
    <x v="172"/>
    <x v="3"/>
  </r>
  <r>
    <x v="0"/>
    <x v="5"/>
    <x v="4"/>
    <x v="173"/>
    <x v="123"/>
  </r>
  <r>
    <x v="0"/>
    <x v="6"/>
    <x v="4"/>
    <x v="174"/>
    <x v="124"/>
  </r>
  <r>
    <x v="0"/>
    <x v="7"/>
    <x v="4"/>
    <x v="175"/>
    <x v="45"/>
  </r>
  <r>
    <x v="0"/>
    <x v="8"/>
    <x v="4"/>
    <x v="176"/>
    <x v="125"/>
  </r>
  <r>
    <x v="0"/>
    <x v="9"/>
    <x v="4"/>
    <x v="177"/>
    <x v="126"/>
  </r>
  <r>
    <x v="0"/>
    <x v="10"/>
    <x v="4"/>
    <x v="178"/>
    <x v="127"/>
  </r>
  <r>
    <x v="0"/>
    <x v="11"/>
    <x v="4"/>
    <x v="179"/>
    <x v="53"/>
  </r>
  <r>
    <x v="1"/>
    <x v="0"/>
    <x v="4"/>
    <x v="180"/>
    <x v="128"/>
  </r>
  <r>
    <x v="1"/>
    <x v="1"/>
    <x v="4"/>
    <x v="181"/>
    <x v="20"/>
  </r>
  <r>
    <x v="1"/>
    <x v="2"/>
    <x v="4"/>
    <x v="182"/>
    <x v="105"/>
  </r>
  <r>
    <x v="1"/>
    <x v="3"/>
    <x v="4"/>
    <x v="183"/>
    <x v="24"/>
  </r>
  <r>
    <x v="1"/>
    <x v="4"/>
    <x v="4"/>
    <x v="184"/>
    <x v="103"/>
  </r>
  <r>
    <x v="1"/>
    <x v="5"/>
    <x v="4"/>
    <x v="185"/>
    <x v="23"/>
  </r>
  <r>
    <x v="1"/>
    <x v="6"/>
    <x v="4"/>
    <x v="186"/>
    <x v="13"/>
  </r>
  <r>
    <x v="1"/>
    <x v="7"/>
    <x v="4"/>
    <x v="187"/>
    <x v="109"/>
  </r>
  <r>
    <x v="1"/>
    <x v="8"/>
    <x v="4"/>
    <x v="188"/>
    <x v="129"/>
  </r>
  <r>
    <x v="1"/>
    <x v="9"/>
    <x v="4"/>
    <x v="189"/>
    <x v="130"/>
  </r>
  <r>
    <x v="1"/>
    <x v="10"/>
    <x v="4"/>
    <x v="190"/>
    <x v="131"/>
  </r>
  <r>
    <x v="1"/>
    <x v="11"/>
    <x v="4"/>
    <x v="191"/>
    <x v="72"/>
  </r>
  <r>
    <x v="2"/>
    <x v="0"/>
    <x v="4"/>
    <x v="192"/>
    <x v="132"/>
  </r>
  <r>
    <x v="2"/>
    <x v="1"/>
    <x v="4"/>
    <x v="193"/>
    <x v="68"/>
  </r>
  <r>
    <x v="2"/>
    <x v="2"/>
    <x v="4"/>
    <x v="194"/>
    <x v="93"/>
  </r>
  <r>
    <x v="2"/>
    <x v="3"/>
    <x v="4"/>
    <x v="195"/>
    <x v="133"/>
  </r>
  <r>
    <x v="2"/>
    <x v="4"/>
    <x v="4"/>
    <x v="196"/>
    <x v="67"/>
  </r>
  <r>
    <x v="2"/>
    <x v="5"/>
    <x v="4"/>
    <x v="197"/>
    <x v="111"/>
  </r>
  <r>
    <x v="2"/>
    <x v="6"/>
    <x v="4"/>
    <x v="187"/>
    <x v="109"/>
  </r>
  <r>
    <x v="2"/>
    <x v="7"/>
    <x v="4"/>
    <x v="198"/>
    <x v="106"/>
  </r>
  <r>
    <x v="2"/>
    <x v="8"/>
    <x v="4"/>
    <x v="199"/>
    <x v="105"/>
  </r>
  <r>
    <x v="2"/>
    <x v="9"/>
    <x v="4"/>
    <x v="200"/>
    <x v="134"/>
  </r>
  <r>
    <x v="2"/>
    <x v="10"/>
    <x v="4"/>
    <x v="201"/>
    <x v="135"/>
  </r>
  <r>
    <x v="2"/>
    <x v="11"/>
    <x v="4"/>
    <x v="180"/>
    <x v="128"/>
  </r>
  <r>
    <x v="3"/>
    <x v="0"/>
    <x v="4"/>
    <x v="202"/>
    <x v="136"/>
  </r>
  <r>
    <x v="3"/>
    <x v="1"/>
    <x v="4"/>
    <x v="203"/>
    <x v="137"/>
  </r>
  <r>
    <x v="3"/>
    <x v="2"/>
    <x v="4"/>
    <x v="204"/>
    <x v="138"/>
  </r>
  <r>
    <x v="3"/>
    <x v="3"/>
    <x v="4"/>
    <x v="205"/>
    <x v="71"/>
  </r>
  <r>
    <x v="3"/>
    <x v="4"/>
    <x v="4"/>
    <x v="206"/>
    <x v="105"/>
  </r>
  <r>
    <x v="3"/>
    <x v="5"/>
    <x v="4"/>
    <x v="207"/>
    <x v="139"/>
  </r>
  <r>
    <x v="3"/>
    <x v="6"/>
    <x v="4"/>
    <x v="208"/>
    <x v="140"/>
  </r>
  <r>
    <x v="3"/>
    <x v="7"/>
    <x v="4"/>
    <x v="209"/>
    <x v="138"/>
  </r>
  <r>
    <x v="3"/>
    <x v="8"/>
    <x v="4"/>
    <x v="210"/>
    <x v="141"/>
  </r>
  <r>
    <x v="3"/>
    <x v="9"/>
    <x v="4"/>
    <x v="211"/>
    <x v="142"/>
  </r>
  <r>
    <x v="3"/>
    <x v="10"/>
    <x v="4"/>
    <x v="212"/>
    <x v="143"/>
  </r>
  <r>
    <x v="3"/>
    <x v="11"/>
    <x v="4"/>
    <x v="213"/>
    <x v="144"/>
  </r>
  <r>
    <x v="0"/>
    <x v="0"/>
    <x v="5"/>
    <x v="214"/>
    <x v="145"/>
  </r>
  <r>
    <x v="0"/>
    <x v="1"/>
    <x v="5"/>
    <x v="215"/>
    <x v="99"/>
  </r>
  <r>
    <x v="0"/>
    <x v="2"/>
    <x v="5"/>
    <x v="216"/>
    <x v="44"/>
  </r>
  <r>
    <x v="0"/>
    <x v="3"/>
    <x v="5"/>
    <x v="217"/>
    <x v="101"/>
  </r>
  <r>
    <x v="0"/>
    <x v="4"/>
    <x v="5"/>
    <x v="218"/>
    <x v="27"/>
  </r>
  <r>
    <x v="0"/>
    <x v="5"/>
    <x v="5"/>
    <x v="219"/>
    <x v="123"/>
  </r>
  <r>
    <x v="0"/>
    <x v="6"/>
    <x v="5"/>
    <x v="220"/>
    <x v="99"/>
  </r>
  <r>
    <x v="0"/>
    <x v="7"/>
    <x v="5"/>
    <x v="221"/>
    <x v="54"/>
  </r>
  <r>
    <x v="0"/>
    <x v="8"/>
    <x v="5"/>
    <x v="222"/>
    <x v="125"/>
  </r>
  <r>
    <x v="0"/>
    <x v="9"/>
    <x v="5"/>
    <x v="223"/>
    <x v="3"/>
  </r>
  <r>
    <x v="0"/>
    <x v="10"/>
    <x v="5"/>
    <x v="224"/>
    <x v="27"/>
  </r>
  <r>
    <x v="0"/>
    <x v="11"/>
    <x v="5"/>
    <x v="225"/>
    <x v="27"/>
  </r>
  <r>
    <x v="1"/>
    <x v="0"/>
    <x v="5"/>
    <x v="226"/>
    <x v="146"/>
  </r>
  <r>
    <x v="1"/>
    <x v="1"/>
    <x v="5"/>
    <x v="227"/>
    <x v="6"/>
  </r>
  <r>
    <x v="1"/>
    <x v="2"/>
    <x v="5"/>
    <x v="228"/>
    <x v="6"/>
  </r>
  <r>
    <x v="1"/>
    <x v="3"/>
    <x v="5"/>
    <x v="229"/>
    <x v="101"/>
  </r>
  <r>
    <x v="1"/>
    <x v="4"/>
    <x v="5"/>
    <x v="230"/>
    <x v="4"/>
  </r>
  <r>
    <x v="1"/>
    <x v="5"/>
    <x v="5"/>
    <x v="231"/>
    <x v="56"/>
  </r>
  <r>
    <x v="1"/>
    <x v="6"/>
    <x v="5"/>
    <x v="232"/>
    <x v="16"/>
  </r>
  <r>
    <x v="1"/>
    <x v="7"/>
    <x v="5"/>
    <x v="233"/>
    <x v="147"/>
  </r>
  <r>
    <x v="1"/>
    <x v="8"/>
    <x v="5"/>
    <x v="234"/>
    <x v="67"/>
  </r>
  <r>
    <x v="1"/>
    <x v="9"/>
    <x v="5"/>
    <x v="235"/>
    <x v="67"/>
  </r>
  <r>
    <x v="1"/>
    <x v="10"/>
    <x v="5"/>
    <x v="236"/>
    <x v="148"/>
  </r>
  <r>
    <x v="1"/>
    <x v="11"/>
    <x v="5"/>
    <x v="237"/>
    <x v="129"/>
  </r>
  <r>
    <x v="2"/>
    <x v="0"/>
    <x v="5"/>
    <x v="238"/>
    <x v="123"/>
  </r>
  <r>
    <x v="2"/>
    <x v="1"/>
    <x v="5"/>
    <x v="239"/>
    <x v="5"/>
  </r>
  <r>
    <x v="2"/>
    <x v="2"/>
    <x v="5"/>
    <x v="240"/>
    <x v="127"/>
  </r>
  <r>
    <x v="2"/>
    <x v="3"/>
    <x v="5"/>
    <x v="241"/>
    <x v="43"/>
  </r>
  <r>
    <x v="2"/>
    <x v="4"/>
    <x v="5"/>
    <x v="242"/>
    <x v="18"/>
  </r>
  <r>
    <x v="2"/>
    <x v="5"/>
    <x v="5"/>
    <x v="243"/>
    <x v="126"/>
  </r>
  <r>
    <x v="2"/>
    <x v="6"/>
    <x v="5"/>
    <x v="233"/>
    <x v="147"/>
  </r>
  <r>
    <x v="2"/>
    <x v="7"/>
    <x v="5"/>
    <x v="244"/>
    <x v="103"/>
  </r>
  <r>
    <x v="2"/>
    <x v="8"/>
    <x v="5"/>
    <x v="245"/>
    <x v="94"/>
  </r>
  <r>
    <x v="2"/>
    <x v="9"/>
    <x v="5"/>
    <x v="246"/>
    <x v="67"/>
  </r>
  <r>
    <x v="2"/>
    <x v="10"/>
    <x v="5"/>
    <x v="247"/>
    <x v="14"/>
  </r>
  <r>
    <x v="2"/>
    <x v="11"/>
    <x v="5"/>
    <x v="226"/>
    <x v="146"/>
  </r>
  <r>
    <x v="3"/>
    <x v="0"/>
    <x v="5"/>
    <x v="248"/>
    <x v="149"/>
  </r>
  <r>
    <x v="3"/>
    <x v="1"/>
    <x v="5"/>
    <x v="249"/>
    <x v="88"/>
  </r>
  <r>
    <x v="3"/>
    <x v="2"/>
    <x v="5"/>
    <x v="250"/>
    <x v="3"/>
  </r>
  <r>
    <x v="3"/>
    <x v="3"/>
    <x v="5"/>
    <x v="251"/>
    <x v="150"/>
  </r>
  <r>
    <x v="3"/>
    <x v="4"/>
    <x v="5"/>
    <x v="252"/>
    <x v="151"/>
  </r>
  <r>
    <x v="3"/>
    <x v="5"/>
    <x v="5"/>
    <x v="253"/>
    <x v="152"/>
  </r>
  <r>
    <x v="3"/>
    <x v="6"/>
    <x v="5"/>
    <x v="254"/>
    <x v="10"/>
  </r>
  <r>
    <x v="3"/>
    <x v="7"/>
    <x v="5"/>
    <x v="255"/>
    <x v="153"/>
  </r>
  <r>
    <x v="3"/>
    <x v="8"/>
    <x v="5"/>
    <x v="256"/>
    <x v="52"/>
  </r>
  <r>
    <x v="3"/>
    <x v="9"/>
    <x v="5"/>
    <x v="257"/>
    <x v="152"/>
  </r>
  <r>
    <x v="3"/>
    <x v="10"/>
    <x v="5"/>
    <x v="258"/>
    <x v="127"/>
  </r>
  <r>
    <x v="3"/>
    <x v="11"/>
    <x v="5"/>
    <x v="259"/>
    <x v="154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8">
  <r>
    <x v="0"/>
    <x v="0"/>
    <x v="0"/>
  </r>
  <r>
    <x v="0"/>
    <x v="1"/>
    <x v="1"/>
  </r>
  <r>
    <x v="0"/>
    <x v="2"/>
    <x v="2"/>
  </r>
  <r>
    <x v="0"/>
    <x v="3"/>
    <x v="3"/>
  </r>
  <r>
    <x v="0"/>
    <x v="4"/>
    <x v="4"/>
  </r>
  <r>
    <x v="0"/>
    <x v="5"/>
    <x v="5"/>
  </r>
  <r>
    <x v="0"/>
    <x v="6"/>
    <x v="6"/>
  </r>
  <r>
    <x v="0"/>
    <x v="7"/>
    <x v="7"/>
  </r>
  <r>
    <x v="0"/>
    <x v="8"/>
    <x v="8"/>
  </r>
  <r>
    <x v="0"/>
    <x v="9"/>
    <x v="9"/>
  </r>
  <r>
    <x v="0"/>
    <x v="10"/>
    <x v="10"/>
  </r>
  <r>
    <x v="0"/>
    <x v="11"/>
    <x v="11"/>
  </r>
  <r>
    <x v="1"/>
    <x v="0"/>
    <x v="12"/>
  </r>
  <r>
    <x v="1"/>
    <x v="1"/>
    <x v="13"/>
  </r>
  <r>
    <x v="1"/>
    <x v="2"/>
    <x v="14"/>
  </r>
  <r>
    <x v="1"/>
    <x v="3"/>
    <x v="15"/>
  </r>
  <r>
    <x v="1"/>
    <x v="4"/>
    <x v="16"/>
  </r>
  <r>
    <x v="1"/>
    <x v="5"/>
    <x v="17"/>
  </r>
  <r>
    <x v="1"/>
    <x v="6"/>
    <x v="18"/>
  </r>
  <r>
    <x v="1"/>
    <x v="7"/>
    <x v="19"/>
  </r>
  <r>
    <x v="1"/>
    <x v="8"/>
    <x v="20"/>
  </r>
  <r>
    <x v="1"/>
    <x v="9"/>
    <x v="21"/>
  </r>
  <r>
    <x v="1"/>
    <x v="10"/>
    <x v="22"/>
  </r>
  <r>
    <x v="1"/>
    <x v="11"/>
    <x v="23"/>
  </r>
  <r>
    <x v="2"/>
    <x v="0"/>
    <x v="24"/>
  </r>
  <r>
    <x v="2"/>
    <x v="1"/>
    <x v="25"/>
  </r>
  <r>
    <x v="2"/>
    <x v="2"/>
    <x v="26"/>
  </r>
  <r>
    <x v="2"/>
    <x v="3"/>
    <x v="27"/>
  </r>
  <r>
    <x v="2"/>
    <x v="4"/>
    <x v="28"/>
  </r>
  <r>
    <x v="2"/>
    <x v="5"/>
    <x v="29"/>
  </r>
  <r>
    <x v="2"/>
    <x v="6"/>
    <x v="19"/>
  </r>
  <r>
    <x v="2"/>
    <x v="7"/>
    <x v="30"/>
  </r>
  <r>
    <x v="2"/>
    <x v="8"/>
    <x v="31"/>
  </r>
  <r>
    <x v="2"/>
    <x v="9"/>
    <x v="32"/>
  </r>
  <r>
    <x v="2"/>
    <x v="10"/>
    <x v="33"/>
  </r>
  <r>
    <x v="2"/>
    <x v="11"/>
    <x v="12"/>
  </r>
  <r>
    <x v="3"/>
    <x v="0"/>
    <x v="34"/>
  </r>
  <r>
    <x v="3"/>
    <x v="1"/>
    <x v="35"/>
  </r>
  <r>
    <x v="3"/>
    <x v="2"/>
    <x v="36"/>
  </r>
  <r>
    <x v="3"/>
    <x v="3"/>
    <x v="37"/>
  </r>
  <r>
    <x v="3"/>
    <x v="4"/>
    <x v="38"/>
  </r>
  <r>
    <x v="3"/>
    <x v="5"/>
    <x v="39"/>
  </r>
  <r>
    <x v="3"/>
    <x v="6"/>
    <x v="40"/>
  </r>
  <r>
    <x v="3"/>
    <x v="7"/>
    <x v="41"/>
  </r>
  <r>
    <x v="3"/>
    <x v="8"/>
    <x v="42"/>
  </r>
  <r>
    <x v="3"/>
    <x v="9"/>
    <x v="43"/>
  </r>
  <r>
    <x v="3"/>
    <x v="10"/>
    <x v="44"/>
  </r>
  <r>
    <x v="3"/>
    <x v="11"/>
    <x v="45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9677542-D35E-4BF8-86D3-CCC440B0977F}" name="PivotTable19" cacheId="5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">
  <location ref="A1:F15" firstHeaderRow="1" firstDataRow="2" firstDataCol="1"/>
  <pivotFields count="3">
    <pivotField axis="axisCol" showAll="0">
      <items count="5">
        <item x="0"/>
        <item x="1"/>
        <item x="2"/>
        <item x="3"/>
        <item t="default"/>
      </items>
    </pivotField>
    <pivotField axis="axisRow"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dataField="1" showAll="0">
      <items count="47">
        <item x="1"/>
        <item x="2"/>
        <item x="5"/>
        <item x="10"/>
        <item x="0"/>
        <item x="6"/>
        <item x="4"/>
        <item x="7"/>
        <item x="8"/>
        <item x="3"/>
        <item x="9"/>
        <item x="11"/>
        <item x="17"/>
        <item x="28"/>
        <item x="13"/>
        <item x="27"/>
        <item x="16"/>
        <item x="15"/>
        <item x="26"/>
        <item x="20"/>
        <item x="25"/>
        <item x="29"/>
        <item x="30"/>
        <item x="18"/>
        <item x="24"/>
        <item x="14"/>
        <item x="31"/>
        <item x="22"/>
        <item x="19"/>
        <item x="33"/>
        <item x="21"/>
        <item x="32"/>
        <item x="23"/>
        <item x="12"/>
        <item x="35"/>
        <item x="38"/>
        <item x="36"/>
        <item x="37"/>
        <item x="39"/>
        <item x="44"/>
        <item x="34"/>
        <item x="40"/>
        <item x="41"/>
        <item x="42"/>
        <item x="45"/>
        <item x="43"/>
        <item t="default"/>
      </items>
    </pivotField>
  </pivotFields>
  <rowFields count="1">
    <field x="1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Fields count="1">
    <field x="0"/>
  </colFields>
  <colItems count="5">
    <i>
      <x/>
    </i>
    <i>
      <x v="1"/>
    </i>
    <i>
      <x v="2"/>
    </i>
    <i>
      <x v="3"/>
    </i>
    <i t="grand">
      <x/>
    </i>
  </colItems>
  <dataFields count="1">
    <dataField name="EmporiUm Revenue" fld="2" baseField="0" baseItem="0"/>
  </dataFields>
  <chartFormats count="4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2"/>
          </reference>
        </references>
      </pivotArea>
    </chartFormat>
    <chartFormat chart="0" format="3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593898F-8256-4425-B4AD-0C97E47D9A9E}" name="PivotTable1" cacheId="2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">
  <location ref="A1:H7" firstHeaderRow="1" firstDataRow="2" firstDataCol="1"/>
  <pivotFields count="5">
    <pivotField axis="axisRow" showAll="0">
      <items count="5">
        <item x="0"/>
        <item x="1"/>
        <item x="2"/>
        <item x="3"/>
        <item t="default"/>
      </items>
    </pivotField>
    <pivotField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axis="axisCol"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261">
        <item x="159"/>
        <item x="149"/>
        <item x="132"/>
        <item x="157"/>
        <item x="139"/>
        <item x="154"/>
        <item x="144"/>
        <item x="133"/>
        <item x="156"/>
        <item x="148"/>
        <item x="150"/>
        <item x="127"/>
        <item x="160"/>
        <item x="137"/>
        <item x="161"/>
        <item x="165"/>
        <item x="152"/>
        <item x="147"/>
        <item x="136"/>
        <item x="141"/>
        <item x="158"/>
        <item x="143"/>
        <item x="129"/>
        <item x="155"/>
        <item x="166"/>
        <item x="145"/>
        <item x="162"/>
        <item x="164"/>
        <item x="151"/>
        <item x="167"/>
        <item x="163"/>
        <item x="142"/>
        <item x="131"/>
        <item x="135"/>
        <item x="153"/>
        <item x="140"/>
        <item x="134"/>
        <item x="138"/>
        <item x="130"/>
        <item x="128"/>
        <item x="146"/>
        <item x="126"/>
        <item x="88"/>
        <item x="125"/>
        <item x="105"/>
        <item x="113"/>
        <item x="121"/>
        <item x="48"/>
        <item x="89"/>
        <item x="106"/>
        <item x="99"/>
        <item x="86"/>
        <item x="96"/>
        <item x="109"/>
        <item x="112"/>
        <item x="104"/>
        <item x="114"/>
        <item x="110"/>
        <item x="98"/>
        <item x="115"/>
        <item x="107"/>
        <item x="124"/>
        <item x="54"/>
        <item x="51"/>
        <item x="95"/>
        <item x="116"/>
        <item x="64"/>
        <item x="101"/>
        <item x="103"/>
        <item x="119"/>
        <item x="47"/>
        <item x="90"/>
        <item x="118"/>
        <item x="87"/>
        <item x="49"/>
        <item x="20"/>
        <item x="30"/>
        <item x="44"/>
        <item x="111"/>
        <item x="91"/>
        <item x="52"/>
        <item x="81"/>
        <item x="94"/>
        <item x="122"/>
        <item x="93"/>
        <item x="6"/>
        <item x="100"/>
        <item x="18"/>
        <item x="29"/>
        <item x="120"/>
        <item x="92"/>
        <item x="65"/>
        <item x="7"/>
        <item x="123"/>
        <item x="55"/>
        <item x="46"/>
        <item x="9"/>
        <item x="102"/>
        <item x="85"/>
        <item x="80"/>
        <item x="73"/>
        <item x="62"/>
        <item x="10"/>
        <item x="13"/>
        <item x="58"/>
        <item x="42"/>
        <item x="117"/>
        <item x="19"/>
        <item x="68"/>
        <item x="36"/>
        <item x="31"/>
        <item x="1"/>
        <item x="22"/>
        <item x="56"/>
        <item x="37"/>
        <item x="63"/>
        <item x="66"/>
        <item x="23"/>
        <item x="50"/>
        <item x="32"/>
        <item x="24"/>
        <item x="60"/>
        <item x="72"/>
        <item x="71"/>
        <item x="53"/>
        <item x="41"/>
        <item x="2"/>
        <item x="39"/>
        <item x="43"/>
        <item x="35"/>
        <item x="84"/>
        <item x="38"/>
        <item x="69"/>
        <item x="59"/>
        <item x="45"/>
        <item x="28"/>
        <item x="17"/>
        <item x="26"/>
        <item x="4"/>
        <item x="40"/>
        <item x="74"/>
        <item x="33"/>
        <item x="15"/>
        <item x="70"/>
        <item x="25"/>
        <item x="12"/>
        <item x="16"/>
        <item x="61"/>
        <item x="82"/>
        <item x="14"/>
        <item x="83"/>
        <item x="21"/>
        <item x="27"/>
        <item x="5"/>
        <item x="76"/>
        <item x="97"/>
        <item x="67"/>
        <item x="75"/>
        <item x="57"/>
        <item x="34"/>
        <item x="108"/>
        <item x="8"/>
        <item x="77"/>
        <item x="11"/>
        <item x="0"/>
        <item x="3"/>
        <item x="78"/>
        <item x="79"/>
        <item x="258"/>
        <item x="254"/>
        <item x="249"/>
        <item x="227"/>
        <item x="256"/>
        <item x="238"/>
        <item x="236"/>
        <item x="257"/>
        <item x="246"/>
        <item x="214"/>
        <item x="226"/>
        <item x="244"/>
        <item x="234"/>
        <item x="259"/>
        <item x="253"/>
        <item x="233"/>
        <item x="239"/>
        <item x="252"/>
        <item x="228"/>
        <item x="240"/>
        <item x="229"/>
        <item x="255"/>
        <item x="248"/>
        <item x="230"/>
        <item x="231"/>
        <item x="241"/>
        <item x="242"/>
        <item x="251"/>
        <item x="235"/>
        <item x="250"/>
        <item x="243"/>
        <item x="245"/>
        <item x="232"/>
        <item x="221"/>
        <item x="223"/>
        <item x="217"/>
        <item x="216"/>
        <item x="247"/>
        <item x="237"/>
        <item x="224"/>
        <item x="219"/>
        <item x="218"/>
        <item x="222"/>
        <item x="215"/>
        <item x="225"/>
        <item x="220"/>
        <item x="201"/>
        <item x="169"/>
        <item x="191"/>
        <item x="178"/>
        <item x="176"/>
        <item x="196"/>
        <item x="173"/>
        <item x="185"/>
        <item x="194"/>
        <item x="183"/>
        <item x="204"/>
        <item x="198"/>
        <item x="186"/>
        <item x="190"/>
        <item x="200"/>
        <item x="197"/>
        <item x="170"/>
        <item x="188"/>
        <item x="212"/>
        <item x="189"/>
        <item x="181"/>
        <item x="168"/>
        <item x="199"/>
        <item x="192"/>
        <item x="211"/>
        <item x="187"/>
        <item x="184"/>
        <item x="213"/>
        <item x="193"/>
        <item x="182"/>
        <item x="174"/>
        <item x="207"/>
        <item x="205"/>
        <item x="195"/>
        <item x="209"/>
        <item x="206"/>
        <item x="172"/>
        <item x="171"/>
        <item x="180"/>
        <item x="203"/>
        <item x="202"/>
        <item x="175"/>
        <item x="208"/>
        <item x="177"/>
        <item x="210"/>
        <item x="179"/>
        <item t="default"/>
      </items>
    </pivotField>
    <pivotField dataField="1" showAll="0">
      <items count="156">
        <item x="77"/>
        <item x="74"/>
        <item x="79"/>
        <item x="78"/>
        <item x="80"/>
        <item x="75"/>
        <item x="73"/>
        <item x="81"/>
        <item x="76"/>
        <item x="82"/>
        <item x="84"/>
        <item x="87"/>
        <item x="83"/>
        <item x="90"/>
        <item x="88"/>
        <item x="46"/>
        <item x="85"/>
        <item x="89"/>
        <item x="86"/>
        <item x="91"/>
        <item x="47"/>
        <item x="149"/>
        <item x="42"/>
        <item x="49"/>
        <item x="40"/>
        <item x="41"/>
        <item x="44"/>
        <item x="48"/>
        <item x="5"/>
        <item x="0"/>
        <item x="95"/>
        <item x="146"/>
        <item x="1"/>
        <item x="43"/>
        <item x="145"/>
        <item x="4"/>
        <item x="6"/>
        <item x="2"/>
        <item x="96"/>
        <item x="9"/>
        <item x="92"/>
        <item x="8"/>
        <item x="3"/>
        <item x="100"/>
        <item x="45"/>
        <item x="99"/>
        <item x="54"/>
        <item x="123"/>
        <item x="97"/>
        <item x="124"/>
        <item x="58"/>
        <item x="53"/>
        <item x="7"/>
        <item x="60"/>
        <item x="98"/>
        <item x="101"/>
        <item x="50"/>
        <item x="127"/>
        <item x="27"/>
        <item x="51"/>
        <item x="25"/>
        <item x="126"/>
        <item x="16"/>
        <item x="10"/>
        <item x="56"/>
        <item x="18"/>
        <item x="52"/>
        <item x="125"/>
        <item x="17"/>
        <item x="57"/>
        <item x="28"/>
        <item x="26"/>
        <item x="154"/>
        <item x="59"/>
        <item x="147"/>
        <item x="19"/>
        <item x="110"/>
        <item x="153"/>
        <item x="55"/>
        <item x="94"/>
        <item x="11"/>
        <item x="23"/>
        <item x="148"/>
        <item x="67"/>
        <item x="133"/>
        <item x="14"/>
        <item x="129"/>
        <item x="103"/>
        <item x="150"/>
        <item x="21"/>
        <item x="15"/>
        <item x="106"/>
        <item x="24"/>
        <item x="102"/>
        <item x="20"/>
        <item x="93"/>
        <item x="111"/>
        <item x="107"/>
        <item x="68"/>
        <item x="13"/>
        <item x="132"/>
        <item x="12"/>
        <item x="105"/>
        <item x="22"/>
        <item x="109"/>
        <item x="151"/>
        <item x="130"/>
        <item x="104"/>
        <item x="69"/>
        <item x="131"/>
        <item x="108"/>
        <item x="134"/>
        <item x="71"/>
        <item x="139"/>
        <item x="135"/>
        <item x="128"/>
        <item x="152"/>
        <item x="72"/>
        <item x="137"/>
        <item x="63"/>
        <item x="35"/>
        <item x="30"/>
        <item x="29"/>
        <item x="62"/>
        <item x="36"/>
        <item x="61"/>
        <item x="140"/>
        <item x="34"/>
        <item x="122"/>
        <item x="136"/>
        <item x="118"/>
        <item x="120"/>
        <item x="138"/>
        <item x="141"/>
        <item x="119"/>
        <item x="31"/>
        <item x="38"/>
        <item x="143"/>
        <item x="66"/>
        <item x="64"/>
        <item x="39"/>
        <item x="114"/>
        <item x="113"/>
        <item x="65"/>
        <item x="112"/>
        <item x="144"/>
        <item x="70"/>
        <item x="33"/>
        <item x="37"/>
        <item x="32"/>
        <item x="115"/>
        <item x="116"/>
        <item x="121"/>
        <item x="117"/>
        <item x="142"/>
        <item t="default"/>
      </items>
    </pivotField>
  </pivotFields>
  <rowFields count="1">
    <field x="0"/>
  </rowFields>
  <rowItems count="5">
    <i>
      <x/>
    </i>
    <i>
      <x v="1"/>
    </i>
    <i>
      <x v="2"/>
    </i>
    <i>
      <x v="3"/>
    </i>
    <i t="grand">
      <x/>
    </i>
  </rowItems>
  <colFields count="1">
    <field x="2"/>
  </colFields>
  <colItems count="7">
    <i>
      <x/>
    </i>
    <i>
      <x v="1"/>
    </i>
    <i>
      <x v="2"/>
    </i>
    <i>
      <x v="3"/>
    </i>
    <i>
      <x v="4"/>
    </i>
    <i>
      <x v="5"/>
    </i>
    <i t="grand">
      <x/>
    </i>
  </colItems>
  <dataFields count="1">
    <dataField name="Sum of Transactions" fld="4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DA08DC84-58FD-4D9A-BBC6-EB45C464089D}" autoFormatId="16" applyNumberFormats="0" applyBorderFormats="0" applyFontFormats="0" applyPatternFormats="0" applyAlignmentFormats="0" applyWidthHeightFormats="0">
  <queryTableRefresh nextId="6">
    <queryTableFields count="5">
      <queryTableField id="1" name="Year" tableColumnId="1"/>
      <queryTableField id="2" name="Month" tableColumnId="2"/>
      <queryTableField id="3" name="Category" tableColumnId="3"/>
      <queryTableField id="4" name="Avg_Transaction_Size" tableColumnId="4"/>
      <queryTableField id="5" name="Transactions" tableColumnId="5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3" xr16:uid="{C6713244-7B4B-4425-A601-29C1E8B1A521}" autoFormatId="16" applyNumberFormats="0" applyBorderFormats="0" applyFontFormats="0" applyPatternFormats="0" applyAlignmentFormats="0" applyWidthHeightFormats="0">
  <queryTableRefresh nextId="4">
    <queryTableFields count="3">
      <queryTableField id="1" name="Year" tableColumnId="1"/>
      <queryTableField id="2" name="Month" tableColumnId="2"/>
      <queryTableField id="3" name="Monthly_Revenue" tableColumnId="3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41431AD-9021-45FA-ADF2-4CCF8B02E4C0}" name="ex4C_order_sample" displayName="ex4C_order_sample" ref="A1:E289" tableType="queryTable" totalsRowShown="0">
  <autoFilter ref="A1:E289" xr:uid="{A41431AD-9021-45FA-ADF2-4CCF8B02E4C0}"/>
  <tableColumns count="5">
    <tableColumn id="1" xr3:uid="{B4C0DB25-85B7-4816-94CF-5FF14B2E3A40}" uniqueName="1" name="Year" queryTableFieldId="1"/>
    <tableColumn id="2" xr3:uid="{80A5A90B-3BD1-4F1F-B62B-FFD36F647341}" uniqueName="2" name="Month" queryTableFieldId="2"/>
    <tableColumn id="3" xr3:uid="{15EF3090-B766-4979-ABB1-70CAD6F263EB}" uniqueName="3" name="Category" queryTableFieldId="3" dataDxfId="0"/>
    <tableColumn id="4" xr3:uid="{15B6040D-0A90-482A-A48F-CF32ADC94480}" uniqueName="4" name="Avg_Transaction_Size" queryTableFieldId="4"/>
    <tableColumn id="5" xr3:uid="{27C9622C-46AD-4B44-BD3D-7451F0BCB643}" uniqueName="5" name="Transactions" queryTableFieldId="5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9B589163-66BC-4DD4-B583-4F159CF81658}" name="ex4C_order_sample2__2" displayName="ex4C_order_sample2__2" ref="A1:C49" tableType="queryTable" totalsRowShown="0">
  <autoFilter ref="A1:C49" xr:uid="{9B589163-66BC-4DD4-B583-4F159CF81658}"/>
  <tableColumns count="3">
    <tableColumn id="1" xr3:uid="{C36CA10A-1EC1-41A0-BCCA-9ED1ABD2D3D3}" uniqueName="1" name="Year" queryTableFieldId="1"/>
    <tableColumn id="2" xr3:uid="{52C2BB74-3C11-4B93-A675-C027737E7701}" uniqueName="2" name="Month" queryTableFieldId="2"/>
    <tableColumn id="3" xr3:uid="{81969CB9-E82C-45C7-8181-E4477255F266}" uniqueName="3" name="Monthly_Revenue" queryTableFieldId="3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B4F25C-B230-4391-B345-26A2DE614CAD}">
  <sheetPr>
    <tabColor theme="7" tint="0.39997558519241921"/>
  </sheetPr>
  <dimension ref="A1:F15"/>
  <sheetViews>
    <sheetView tabSelected="1" topLeftCell="A15" workbookViewId="0">
      <selection activeCell="J34" sqref="J34"/>
    </sheetView>
  </sheetViews>
  <sheetFormatPr defaultRowHeight="14.5" x14ac:dyDescent="0.35"/>
  <cols>
    <col min="1" max="1" width="22.08984375" bestFit="1" customWidth="1"/>
    <col min="2" max="2" width="15.6328125" bestFit="1" customWidth="1"/>
    <col min="3" max="6" width="10.81640625" bestFit="1" customWidth="1"/>
    <col min="7" max="13" width="8.81640625" bestFit="1" customWidth="1"/>
    <col min="14" max="15" width="9.81640625" bestFit="1" customWidth="1"/>
    <col min="16" max="16" width="8.81640625" bestFit="1" customWidth="1"/>
    <col min="17" max="17" width="9.81640625" bestFit="1" customWidth="1"/>
    <col min="18" max="19" width="8.81640625" bestFit="1" customWidth="1"/>
    <col min="20" max="20" width="7.81640625" bestFit="1" customWidth="1"/>
    <col min="21" max="23" width="8.81640625" bestFit="1" customWidth="1"/>
    <col min="24" max="26" width="9.81640625" bestFit="1" customWidth="1"/>
    <col min="27" max="27" width="10.81640625" bestFit="1" customWidth="1"/>
    <col min="28" max="35" width="8.81640625" bestFit="1" customWidth="1"/>
    <col min="36" max="37" width="9.81640625" bestFit="1" customWidth="1"/>
    <col min="38" max="38" width="8.81640625" bestFit="1" customWidth="1"/>
    <col min="39" max="39" width="9.81640625" bestFit="1" customWidth="1"/>
    <col min="40" max="40" width="10.81640625" bestFit="1" customWidth="1"/>
    <col min="41" max="46" width="9.81640625" bestFit="1" customWidth="1"/>
    <col min="47" max="47" width="8.81640625" bestFit="1" customWidth="1"/>
    <col min="48" max="51" width="9.81640625" bestFit="1" customWidth="1"/>
    <col min="52" max="52" width="6.81640625" bestFit="1" customWidth="1"/>
    <col min="53" max="54" width="10.81640625" bestFit="1" customWidth="1"/>
  </cols>
  <sheetData>
    <row r="1" spans="1:6" x14ac:dyDescent="0.35">
      <c r="A1" s="2" t="s">
        <v>16</v>
      </c>
      <c r="B1" s="2" t="s">
        <v>14</v>
      </c>
    </row>
    <row r="2" spans="1:6" x14ac:dyDescent="0.35">
      <c r="A2" s="2" t="s">
        <v>11</v>
      </c>
      <c r="B2">
        <v>2022</v>
      </c>
      <c r="C2">
        <v>2023</v>
      </c>
      <c r="D2">
        <v>2024</v>
      </c>
      <c r="E2">
        <v>2025</v>
      </c>
      <c r="F2" t="s">
        <v>12</v>
      </c>
    </row>
    <row r="3" spans="1:6" x14ac:dyDescent="0.35">
      <c r="A3" s="3">
        <v>1</v>
      </c>
      <c r="B3" s="1">
        <v>70597.509999999995</v>
      </c>
      <c r="C3" s="1">
        <v>115439.64</v>
      </c>
      <c r="D3" s="1">
        <v>99272.17</v>
      </c>
      <c r="E3" s="1">
        <v>148558.26</v>
      </c>
      <c r="F3" s="1">
        <v>433867.58</v>
      </c>
    </row>
    <row r="4" spans="1:6" x14ac:dyDescent="0.35">
      <c r="A4" s="3">
        <v>2</v>
      </c>
      <c r="B4" s="1">
        <v>63225.69</v>
      </c>
      <c r="C4" s="1">
        <v>91815.52</v>
      </c>
      <c r="D4" s="1">
        <v>96699.78</v>
      </c>
      <c r="E4" s="1">
        <v>131102.07999999999</v>
      </c>
      <c r="F4" s="1">
        <v>382843.07</v>
      </c>
    </row>
    <row r="5" spans="1:6" x14ac:dyDescent="0.35">
      <c r="A5" s="3">
        <v>3</v>
      </c>
      <c r="B5" s="1">
        <v>64779.71</v>
      </c>
      <c r="C5" s="1">
        <v>101529.42</v>
      </c>
      <c r="D5" s="1">
        <v>95231.21</v>
      </c>
      <c r="E5" s="1">
        <v>138083.24</v>
      </c>
      <c r="F5" s="1">
        <v>399623.58</v>
      </c>
    </row>
    <row r="6" spans="1:6" x14ac:dyDescent="0.35">
      <c r="A6" s="3">
        <v>4</v>
      </c>
      <c r="B6" s="1">
        <v>78465.399999999994</v>
      </c>
      <c r="C6" s="1">
        <v>94095.22</v>
      </c>
      <c r="D6" s="1">
        <v>91875.839999999997</v>
      </c>
      <c r="E6" s="1">
        <v>138626.23999999999</v>
      </c>
      <c r="F6" s="1">
        <v>403062.69999999995</v>
      </c>
    </row>
    <row r="7" spans="1:6" x14ac:dyDescent="0.35">
      <c r="A7" s="3">
        <v>5</v>
      </c>
      <c r="B7" s="1">
        <v>73037.02</v>
      </c>
      <c r="C7" s="1">
        <v>93011.83</v>
      </c>
      <c r="D7" s="1">
        <v>89476.87</v>
      </c>
      <c r="E7" s="1">
        <v>133865.16</v>
      </c>
      <c r="F7" s="1">
        <v>389390.88</v>
      </c>
    </row>
    <row r="8" spans="1:6" x14ac:dyDescent="0.35">
      <c r="A8" s="3">
        <v>6</v>
      </c>
      <c r="B8" s="1">
        <v>66868.55</v>
      </c>
      <c r="C8" s="1">
        <v>88203.9</v>
      </c>
      <c r="D8" s="1">
        <v>97550.01</v>
      </c>
      <c r="E8" s="1">
        <v>144521.48000000001</v>
      </c>
      <c r="F8" s="1">
        <v>397143.94000000006</v>
      </c>
    </row>
    <row r="9" spans="1:6" x14ac:dyDescent="0.35">
      <c r="A9" s="3">
        <v>7</v>
      </c>
      <c r="B9" s="1">
        <v>72096.47</v>
      </c>
      <c r="C9" s="1">
        <v>98822.98</v>
      </c>
      <c r="D9" s="1">
        <v>107203.9</v>
      </c>
      <c r="E9" s="1">
        <v>149097.1</v>
      </c>
      <c r="F9" s="1">
        <v>427220.44999999995</v>
      </c>
    </row>
    <row r="10" spans="1:6" x14ac:dyDescent="0.35">
      <c r="A10" s="3">
        <v>8</v>
      </c>
      <c r="B10" s="1">
        <v>73904.91</v>
      </c>
      <c r="C10" s="1">
        <v>107203.9</v>
      </c>
      <c r="D10" s="1">
        <v>98470.41</v>
      </c>
      <c r="E10" s="1">
        <v>151923.99</v>
      </c>
      <c r="F10" s="1">
        <v>431503.20999999996</v>
      </c>
    </row>
    <row r="11" spans="1:6" x14ac:dyDescent="0.35">
      <c r="A11" s="3">
        <v>9</v>
      </c>
      <c r="B11" s="1">
        <v>77869.16</v>
      </c>
      <c r="C11" s="1">
        <v>95680.79</v>
      </c>
      <c r="D11" s="1">
        <v>105926.21</v>
      </c>
      <c r="E11" s="1">
        <v>163449.78</v>
      </c>
      <c r="F11" s="1">
        <v>442925.94000000006</v>
      </c>
    </row>
    <row r="12" spans="1:6" x14ac:dyDescent="0.35">
      <c r="A12" s="3">
        <v>10</v>
      </c>
      <c r="B12" s="1">
        <v>83610.78</v>
      </c>
      <c r="C12" s="1">
        <v>108715.83</v>
      </c>
      <c r="D12" s="1">
        <v>110232.92</v>
      </c>
      <c r="E12" s="1">
        <v>250830.46</v>
      </c>
      <c r="F12" s="1">
        <v>553389.99</v>
      </c>
    </row>
    <row r="13" spans="1:6" x14ac:dyDescent="0.35">
      <c r="A13" s="3">
        <v>11</v>
      </c>
      <c r="B13" s="1">
        <v>70526.89</v>
      </c>
      <c r="C13" s="1">
        <v>106648.71</v>
      </c>
      <c r="D13" s="1">
        <v>107911.5</v>
      </c>
      <c r="E13" s="1">
        <v>146953.32999999999</v>
      </c>
      <c r="F13" s="1">
        <v>432040.42999999993</v>
      </c>
    </row>
    <row r="14" spans="1:6" x14ac:dyDescent="0.35">
      <c r="A14" s="3">
        <v>12</v>
      </c>
      <c r="B14" s="1">
        <v>84464.75</v>
      </c>
      <c r="C14" s="1">
        <v>111495.71</v>
      </c>
      <c r="D14" s="1">
        <v>115439.64</v>
      </c>
      <c r="E14" s="1">
        <v>170994</v>
      </c>
      <c r="F14" s="1">
        <v>482394.10000000003</v>
      </c>
    </row>
    <row r="15" spans="1:6" x14ac:dyDescent="0.35">
      <c r="A15" s="3" t="s">
        <v>12</v>
      </c>
      <c r="B15" s="1">
        <v>879446.84000000008</v>
      </c>
      <c r="C15" s="1">
        <v>1212663.45</v>
      </c>
      <c r="D15" s="1">
        <v>1215290.46</v>
      </c>
      <c r="E15" s="1">
        <v>1868005.1199999999</v>
      </c>
      <c r="F15" s="1">
        <v>5175405.8699999992</v>
      </c>
    </row>
  </sheetData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EECE2A-1A15-4C45-98F9-57E2D3F1A9E5}">
  <sheetPr>
    <tabColor theme="7" tint="0.39997558519241921"/>
  </sheetPr>
  <dimension ref="A1:K21"/>
  <sheetViews>
    <sheetView zoomScaleNormal="100" workbookViewId="0">
      <selection activeCell="F7" sqref="F7"/>
    </sheetView>
  </sheetViews>
  <sheetFormatPr defaultRowHeight="14.5" x14ac:dyDescent="0.35"/>
  <cols>
    <col min="1" max="1" width="10.1796875" bestFit="1" customWidth="1"/>
    <col min="2" max="2" width="21.453125" bestFit="1" customWidth="1"/>
    <col min="3" max="3" width="10.36328125" bestFit="1" customWidth="1"/>
    <col min="4" max="4" width="13.81640625" bestFit="1" customWidth="1"/>
    <col min="5" max="5" width="19.7265625" bestFit="1" customWidth="1"/>
    <col min="6" max="6" width="22" bestFit="1" customWidth="1"/>
    <col min="7" max="7" width="9" bestFit="1" customWidth="1"/>
  </cols>
  <sheetData>
    <row r="1" spans="1:11" x14ac:dyDescent="0.35">
      <c r="A1" s="6"/>
      <c r="B1" s="7" t="s">
        <v>5</v>
      </c>
      <c r="C1" s="7" t="s">
        <v>6</v>
      </c>
      <c r="D1" s="7" t="s">
        <v>7</v>
      </c>
      <c r="E1" s="7" t="s">
        <v>8</v>
      </c>
      <c r="F1" s="7" t="s">
        <v>9</v>
      </c>
      <c r="G1" s="7" t="s">
        <v>10</v>
      </c>
      <c r="H1" s="7"/>
      <c r="I1" s="7"/>
      <c r="J1" s="7"/>
      <c r="K1" s="7"/>
    </row>
    <row r="2" spans="1:11" x14ac:dyDescent="0.35">
      <c r="A2" s="6" t="s">
        <v>4</v>
      </c>
      <c r="B2" s="9">
        <v>0.97731568998109641</v>
      </c>
      <c r="C2" s="9">
        <v>0.88204747774480707</v>
      </c>
      <c r="D2" s="9">
        <v>0.77419354838709675</v>
      </c>
      <c r="E2" s="9">
        <v>0.9330357142857143</v>
      </c>
      <c r="F2" s="9">
        <v>0.48085998951232301</v>
      </c>
      <c r="G2" s="9">
        <v>0.10058737151248165</v>
      </c>
      <c r="H2" s="9"/>
      <c r="I2" s="8"/>
      <c r="J2" s="8"/>
      <c r="K2" s="8"/>
    </row>
    <row r="3" spans="1:11" x14ac:dyDescent="0.35">
      <c r="A3" s="6"/>
      <c r="B3" s="9"/>
      <c r="C3" s="9"/>
      <c r="D3" s="9"/>
      <c r="E3" s="9"/>
      <c r="F3" s="9"/>
      <c r="G3" s="9"/>
      <c r="H3" s="9"/>
      <c r="I3" s="8"/>
      <c r="J3" s="8"/>
      <c r="K3" s="8"/>
    </row>
    <row r="4" spans="1:11" x14ac:dyDescent="0.35">
      <c r="A4" s="6"/>
      <c r="B4" s="9"/>
      <c r="C4" s="9"/>
      <c r="D4" s="9"/>
      <c r="E4" s="9"/>
      <c r="F4" s="9"/>
      <c r="G4" s="9"/>
      <c r="H4" s="9"/>
      <c r="I4" s="8"/>
      <c r="J4" s="8"/>
      <c r="K4" s="8"/>
    </row>
    <row r="5" spans="1:11" x14ac:dyDescent="0.35">
      <c r="A5" s="7"/>
      <c r="B5" s="8"/>
      <c r="C5" s="8"/>
      <c r="D5" s="8"/>
    </row>
    <row r="6" spans="1:11" x14ac:dyDescent="0.35">
      <c r="A6" s="7"/>
      <c r="B6" s="8"/>
      <c r="C6" s="8"/>
      <c r="D6" s="8"/>
    </row>
    <row r="7" spans="1:11" x14ac:dyDescent="0.35">
      <c r="A7" s="7"/>
      <c r="B7" s="8"/>
      <c r="C7" s="8"/>
      <c r="D7" s="8"/>
    </row>
    <row r="8" spans="1:11" x14ac:dyDescent="0.35">
      <c r="A8" s="5"/>
    </row>
    <row r="9" spans="1:11" x14ac:dyDescent="0.35">
      <c r="A9" s="4"/>
    </row>
    <row r="10" spans="1:11" x14ac:dyDescent="0.35">
      <c r="A10" s="4"/>
    </row>
    <row r="11" spans="1:11" x14ac:dyDescent="0.35">
      <c r="A11" s="4"/>
    </row>
    <row r="12" spans="1:11" x14ac:dyDescent="0.35">
      <c r="A12" s="4"/>
    </row>
    <row r="13" spans="1:11" x14ac:dyDescent="0.35">
      <c r="A13" s="4"/>
    </row>
    <row r="14" spans="1:11" x14ac:dyDescent="0.35">
      <c r="A14" s="4"/>
    </row>
    <row r="16" spans="1:11" x14ac:dyDescent="0.35">
      <c r="A16" s="4"/>
    </row>
    <row r="17" spans="1:1" x14ac:dyDescent="0.35">
      <c r="A17" s="4"/>
    </row>
    <row r="18" spans="1:1" x14ac:dyDescent="0.35">
      <c r="A18" s="4"/>
    </row>
    <row r="19" spans="1:1" x14ac:dyDescent="0.35">
      <c r="A19" s="4"/>
    </row>
    <row r="20" spans="1:1" x14ac:dyDescent="0.35">
      <c r="A20" s="4"/>
    </row>
    <row r="21" spans="1:1" x14ac:dyDescent="0.35">
      <c r="A21" s="4"/>
    </row>
  </sheetData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887558-621E-47E1-BAF1-3723053B870E}">
  <dimension ref="A1:J10"/>
  <sheetViews>
    <sheetView workbookViewId="0">
      <selection activeCell="B8" sqref="B8"/>
    </sheetView>
  </sheetViews>
  <sheetFormatPr defaultRowHeight="14.5" x14ac:dyDescent="0.35"/>
  <cols>
    <col min="1" max="1" width="17.90625" bestFit="1" customWidth="1"/>
    <col min="2" max="2" width="22.26953125" bestFit="1" customWidth="1"/>
    <col min="3" max="3" width="10.90625" bestFit="1" customWidth="1"/>
    <col min="4" max="4" width="14.08984375" bestFit="1" customWidth="1"/>
    <col min="5" max="5" width="20.81640625" bestFit="1" customWidth="1"/>
    <col min="6" max="6" width="22.453125" bestFit="1" customWidth="1"/>
    <col min="7" max="7" width="9.26953125" bestFit="1" customWidth="1"/>
    <col min="8" max="8" width="10.36328125" bestFit="1" customWidth="1"/>
    <col min="9" max="9" width="17.90625" bestFit="1" customWidth="1"/>
    <col min="10" max="10" width="25.1796875" bestFit="1" customWidth="1"/>
    <col min="11" max="11" width="17.90625" bestFit="1" customWidth="1"/>
    <col min="12" max="12" width="25.1796875" bestFit="1" customWidth="1"/>
    <col min="13" max="13" width="17.90625" bestFit="1" customWidth="1"/>
    <col min="14" max="14" width="29.7265625" bestFit="1" customWidth="1"/>
    <col min="15" max="15" width="22.453125" bestFit="1" customWidth="1"/>
  </cols>
  <sheetData>
    <row r="1" spans="1:10" x14ac:dyDescent="0.35">
      <c r="A1" s="2" t="s">
        <v>13</v>
      </c>
      <c r="B1" s="2" t="s">
        <v>14</v>
      </c>
    </row>
    <row r="2" spans="1:10" x14ac:dyDescent="0.35">
      <c r="A2" s="2" t="s">
        <v>11</v>
      </c>
      <c r="B2" t="s">
        <v>5</v>
      </c>
      <c r="C2" t="s">
        <v>6</v>
      </c>
      <c r="D2" t="s">
        <v>7</v>
      </c>
      <c r="E2" t="s">
        <v>8</v>
      </c>
      <c r="F2" t="s">
        <v>9</v>
      </c>
      <c r="G2" t="s">
        <v>10</v>
      </c>
      <c r="H2" t="s">
        <v>12</v>
      </c>
    </row>
    <row r="3" spans="1:10" x14ac:dyDescent="0.35">
      <c r="A3" s="3">
        <v>2022</v>
      </c>
      <c r="B3" s="1">
        <v>1044</v>
      </c>
      <c r="C3" s="1">
        <v>897</v>
      </c>
      <c r="D3" s="1">
        <v>459</v>
      </c>
      <c r="E3" s="1">
        <v>1220</v>
      </c>
      <c r="F3" s="1">
        <v>1247</v>
      </c>
      <c r="G3" s="1">
        <v>1201</v>
      </c>
      <c r="H3" s="1">
        <v>6068</v>
      </c>
    </row>
    <row r="4" spans="1:10" x14ac:dyDescent="0.35">
      <c r="A4" s="3">
        <v>2023</v>
      </c>
      <c r="B4" s="1">
        <v>1584</v>
      </c>
      <c r="C4" s="1">
        <v>1347</v>
      </c>
      <c r="D4" s="1">
        <v>709</v>
      </c>
      <c r="E4" s="1">
        <v>1789</v>
      </c>
      <c r="F4" s="1">
        <v>1905</v>
      </c>
      <c r="G4" s="1">
        <v>1357</v>
      </c>
      <c r="H4" s="1">
        <v>8691</v>
      </c>
    </row>
    <row r="5" spans="1:10" x14ac:dyDescent="0.35">
      <c r="A5" s="3">
        <v>2024</v>
      </c>
      <c r="B5" s="1">
        <v>1587</v>
      </c>
      <c r="C5" s="1">
        <v>1348</v>
      </c>
      <c r="D5" s="1">
        <v>713</v>
      </c>
      <c r="E5" s="1">
        <v>1792</v>
      </c>
      <c r="F5" s="1">
        <v>1907</v>
      </c>
      <c r="G5" s="1">
        <v>1362</v>
      </c>
      <c r="H5" s="1">
        <v>8709</v>
      </c>
    </row>
    <row r="6" spans="1:10" x14ac:dyDescent="0.35">
      <c r="A6" s="3">
        <v>2025</v>
      </c>
      <c r="B6" s="1">
        <v>3138</v>
      </c>
      <c r="C6" s="1">
        <v>2537</v>
      </c>
      <c r="D6" s="1">
        <v>1265</v>
      </c>
      <c r="E6" s="1">
        <v>3464</v>
      </c>
      <c r="F6" s="1">
        <v>2824</v>
      </c>
      <c r="G6" s="1">
        <v>1499</v>
      </c>
      <c r="H6" s="1">
        <v>14727</v>
      </c>
    </row>
    <row r="7" spans="1:10" x14ac:dyDescent="0.35">
      <c r="A7" s="3" t="s">
        <v>12</v>
      </c>
      <c r="B7" s="1">
        <v>7353</v>
      </c>
      <c r="C7" s="1">
        <v>6129</v>
      </c>
      <c r="D7" s="1">
        <v>3146</v>
      </c>
      <c r="E7" s="1">
        <v>8265</v>
      </c>
      <c r="F7" s="1">
        <v>7883</v>
      </c>
      <c r="G7" s="1">
        <v>5419</v>
      </c>
      <c r="H7" s="1">
        <v>38195</v>
      </c>
    </row>
    <row r="8" spans="1:10" x14ac:dyDescent="0.35">
      <c r="B8" s="9">
        <f>(B6-B5)/B5</f>
        <v>0.97731568998109641</v>
      </c>
      <c r="C8" s="9">
        <f t="shared" ref="C8:G8" si="0">(C6-C5)/C5</f>
        <v>0.88204747774480707</v>
      </c>
      <c r="D8" s="9">
        <f t="shared" si="0"/>
        <v>0.77419354838709675</v>
      </c>
      <c r="E8" s="9">
        <f t="shared" si="0"/>
        <v>0.9330357142857143</v>
      </c>
      <c r="F8" s="9">
        <f t="shared" si="0"/>
        <v>0.48085998951232301</v>
      </c>
      <c r="G8" s="9">
        <f t="shared" si="0"/>
        <v>0.10058737151248165</v>
      </c>
      <c r="H8" s="9"/>
      <c r="I8">
        <v>0.48085998951232301</v>
      </c>
      <c r="J8">
        <v>0.10058737151248165</v>
      </c>
    </row>
    <row r="9" spans="1:10" x14ac:dyDescent="0.35">
      <c r="B9" s="9"/>
      <c r="C9" s="9"/>
      <c r="D9" s="9"/>
      <c r="E9" s="9"/>
      <c r="F9" s="9"/>
      <c r="G9" s="9"/>
      <c r="H9" s="9"/>
    </row>
    <row r="10" spans="1:10" x14ac:dyDescent="0.35">
      <c r="B10" s="9"/>
      <c r="C10" s="9"/>
      <c r="D10" s="9"/>
      <c r="E10" s="9"/>
      <c r="F10" s="9"/>
      <c r="G10" s="9"/>
      <c r="H10" s="9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67123D-1EDF-458F-854A-02530F74D0AB}">
  <dimension ref="A1:F289"/>
  <sheetViews>
    <sheetView workbookViewId="0">
      <selection activeCell="D1" sqref="D1"/>
    </sheetView>
  </sheetViews>
  <sheetFormatPr defaultRowHeight="14.5" x14ac:dyDescent="0.35"/>
  <cols>
    <col min="1" max="1" width="6.81640625" bestFit="1" customWidth="1"/>
    <col min="2" max="2" width="8.36328125" bestFit="1" customWidth="1"/>
    <col min="3" max="3" width="22" bestFit="1" customWidth="1"/>
    <col min="4" max="4" width="21.08984375" bestFit="1" customWidth="1"/>
    <col min="5" max="5" width="13.81640625" bestFit="1" customWidth="1"/>
  </cols>
  <sheetData>
    <row r="1" spans="1: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6" x14ac:dyDescent="0.35">
      <c r="A2">
        <v>2022</v>
      </c>
      <c r="B2">
        <v>1</v>
      </c>
      <c r="C2" s="1" t="s">
        <v>5</v>
      </c>
      <c r="D2">
        <v>34.619999999999997</v>
      </c>
      <c r="E2">
        <v>79</v>
      </c>
      <c r="F2">
        <f>ProductData!G5</f>
        <v>0</v>
      </c>
    </row>
    <row r="3" spans="1:6" x14ac:dyDescent="0.35">
      <c r="A3">
        <v>2022</v>
      </c>
      <c r="B3">
        <v>2</v>
      </c>
      <c r="C3" s="1" t="s">
        <v>5</v>
      </c>
      <c r="D3">
        <v>31.57</v>
      </c>
      <c r="E3">
        <v>82</v>
      </c>
    </row>
    <row r="4" spans="1:6" x14ac:dyDescent="0.35">
      <c r="A4">
        <v>2022</v>
      </c>
      <c r="B4">
        <v>3</v>
      </c>
      <c r="C4" s="1" t="s">
        <v>5</v>
      </c>
      <c r="D4">
        <v>32.28</v>
      </c>
      <c r="E4">
        <v>87</v>
      </c>
    </row>
    <row r="5" spans="1:6" x14ac:dyDescent="0.35">
      <c r="A5">
        <v>2022</v>
      </c>
      <c r="B5">
        <v>4</v>
      </c>
      <c r="C5" s="1" t="s">
        <v>5</v>
      </c>
      <c r="D5">
        <v>34.97</v>
      </c>
      <c r="E5">
        <v>82</v>
      </c>
    </row>
    <row r="6" spans="1:6" x14ac:dyDescent="0.35">
      <c r="A6">
        <v>2022</v>
      </c>
      <c r="B6">
        <v>5</v>
      </c>
      <c r="C6" s="1" t="s">
        <v>5</v>
      </c>
      <c r="D6">
        <v>32.82</v>
      </c>
      <c r="E6">
        <v>94</v>
      </c>
    </row>
    <row r="7" spans="1:6" x14ac:dyDescent="0.35">
      <c r="A7">
        <v>2022</v>
      </c>
      <c r="B7">
        <v>6</v>
      </c>
      <c r="C7" s="1" t="s">
        <v>5</v>
      </c>
      <c r="D7">
        <v>33.86</v>
      </c>
      <c r="E7">
        <v>85</v>
      </c>
    </row>
    <row r="8" spans="1:6" x14ac:dyDescent="0.35">
      <c r="A8">
        <v>2022</v>
      </c>
      <c r="B8">
        <v>7</v>
      </c>
      <c r="C8" s="1" t="s">
        <v>5</v>
      </c>
      <c r="D8">
        <v>29.89</v>
      </c>
      <c r="E8">
        <v>78</v>
      </c>
    </row>
    <row r="9" spans="1:6" x14ac:dyDescent="0.35">
      <c r="A9">
        <v>2022</v>
      </c>
      <c r="B9">
        <v>8</v>
      </c>
      <c r="C9" s="1" t="s">
        <v>5</v>
      </c>
      <c r="D9">
        <v>30.61</v>
      </c>
      <c r="E9">
        <v>86</v>
      </c>
    </row>
    <row r="10" spans="1:6" x14ac:dyDescent="0.35">
      <c r="A10">
        <v>2022</v>
      </c>
      <c r="B10">
        <v>9</v>
      </c>
      <c r="C10" s="1" t="s">
        <v>5</v>
      </c>
      <c r="D10">
        <v>34.56</v>
      </c>
      <c r="E10">
        <v>104</v>
      </c>
    </row>
    <row r="11" spans="1:6" x14ac:dyDescent="0.35">
      <c r="A11">
        <v>2022</v>
      </c>
      <c r="B11">
        <v>10</v>
      </c>
      <c r="C11" s="1" t="s">
        <v>5</v>
      </c>
      <c r="D11">
        <v>30.89</v>
      </c>
      <c r="E11">
        <v>93</v>
      </c>
    </row>
    <row r="12" spans="1:6" x14ac:dyDescent="0.35">
      <c r="A12">
        <v>2022</v>
      </c>
      <c r="B12">
        <v>11</v>
      </c>
      <c r="C12" s="1" t="s">
        <v>5</v>
      </c>
      <c r="D12">
        <v>31.17</v>
      </c>
      <c r="E12">
        <v>89</v>
      </c>
    </row>
    <row r="13" spans="1:6" x14ac:dyDescent="0.35">
      <c r="A13">
        <v>2022</v>
      </c>
      <c r="B13">
        <v>12</v>
      </c>
      <c r="C13" s="1" t="s">
        <v>5</v>
      </c>
      <c r="D13">
        <v>34.6</v>
      </c>
      <c r="E13">
        <v>85</v>
      </c>
    </row>
    <row r="14" spans="1:6" x14ac:dyDescent="0.35">
      <c r="A14">
        <v>2023</v>
      </c>
      <c r="B14">
        <v>1</v>
      </c>
      <c r="C14" s="1" t="s">
        <v>5</v>
      </c>
      <c r="D14">
        <v>33.42</v>
      </c>
      <c r="E14">
        <v>115</v>
      </c>
    </row>
    <row r="15" spans="1:6" x14ac:dyDescent="0.35">
      <c r="A15">
        <v>2023</v>
      </c>
      <c r="B15">
        <v>2</v>
      </c>
      <c r="C15" s="1" t="s">
        <v>5</v>
      </c>
      <c r="D15">
        <v>31.25</v>
      </c>
      <c r="E15">
        <v>134</v>
      </c>
    </row>
    <row r="16" spans="1:6" x14ac:dyDescent="0.35">
      <c r="A16">
        <v>2023</v>
      </c>
      <c r="B16">
        <v>3</v>
      </c>
      <c r="C16" s="1" t="s">
        <v>5</v>
      </c>
      <c r="D16">
        <v>33.6</v>
      </c>
      <c r="E16">
        <v>159</v>
      </c>
    </row>
    <row r="17" spans="1:5" x14ac:dyDescent="0.35">
      <c r="A17">
        <v>2023</v>
      </c>
      <c r="B17">
        <v>4</v>
      </c>
      <c r="C17" s="1" t="s">
        <v>5</v>
      </c>
      <c r="D17">
        <v>33.14</v>
      </c>
      <c r="E17">
        <v>156</v>
      </c>
    </row>
    <row r="18" spans="1:5" x14ac:dyDescent="0.35">
      <c r="A18">
        <v>2023</v>
      </c>
      <c r="B18">
        <v>5</v>
      </c>
      <c r="C18" s="1" t="s">
        <v>5</v>
      </c>
      <c r="D18">
        <v>33.43</v>
      </c>
      <c r="E18">
        <v>140</v>
      </c>
    </row>
    <row r="19" spans="1:5" x14ac:dyDescent="0.35">
      <c r="A19">
        <v>2023</v>
      </c>
      <c r="B19">
        <v>6</v>
      </c>
      <c r="C19" s="1" t="s">
        <v>5</v>
      </c>
      <c r="D19">
        <v>32.659999999999997</v>
      </c>
      <c r="E19">
        <v>146</v>
      </c>
    </row>
    <row r="20" spans="1:5" x14ac:dyDescent="0.35">
      <c r="A20">
        <v>2023</v>
      </c>
      <c r="B20">
        <v>7</v>
      </c>
      <c r="C20" s="1" t="s">
        <v>5</v>
      </c>
      <c r="D20">
        <v>30.2</v>
      </c>
      <c r="E20">
        <v>114</v>
      </c>
    </row>
    <row r="21" spans="1:5" x14ac:dyDescent="0.35">
      <c r="A21">
        <v>2023</v>
      </c>
      <c r="B21">
        <v>8</v>
      </c>
      <c r="C21" s="1" t="s">
        <v>5</v>
      </c>
      <c r="D21">
        <v>31.31</v>
      </c>
      <c r="E21">
        <v>140</v>
      </c>
    </row>
    <row r="22" spans="1:5" x14ac:dyDescent="0.35">
      <c r="A22">
        <v>2023</v>
      </c>
      <c r="B22">
        <v>9</v>
      </c>
      <c r="C22" s="1" t="s">
        <v>5</v>
      </c>
      <c r="D22">
        <v>29.29</v>
      </c>
      <c r="E22">
        <v>120</v>
      </c>
    </row>
    <row r="23" spans="1:5" x14ac:dyDescent="0.35">
      <c r="A23">
        <v>2023</v>
      </c>
      <c r="B23">
        <v>10</v>
      </c>
      <c r="C23" s="1" t="s">
        <v>5</v>
      </c>
      <c r="D23">
        <v>33.79</v>
      </c>
      <c r="E23">
        <v>114</v>
      </c>
    </row>
    <row r="24" spans="1:5" x14ac:dyDescent="0.35">
      <c r="A24">
        <v>2023</v>
      </c>
      <c r="B24">
        <v>11</v>
      </c>
      <c r="C24" s="1" t="s">
        <v>5</v>
      </c>
      <c r="D24">
        <v>31.58</v>
      </c>
      <c r="E24">
        <v>117</v>
      </c>
    </row>
    <row r="25" spans="1:5" x14ac:dyDescent="0.35">
      <c r="A25">
        <v>2023</v>
      </c>
      <c r="B25">
        <v>12</v>
      </c>
      <c r="C25" s="1" t="s">
        <v>5</v>
      </c>
      <c r="D25">
        <v>31.82</v>
      </c>
      <c r="E25">
        <v>129</v>
      </c>
    </row>
    <row r="26" spans="1:5" x14ac:dyDescent="0.35">
      <c r="A26">
        <v>2024</v>
      </c>
      <c r="B26">
        <v>1</v>
      </c>
      <c r="C26" s="1" t="s">
        <v>5</v>
      </c>
      <c r="D26">
        <v>31.9</v>
      </c>
      <c r="E26">
        <v>151</v>
      </c>
    </row>
    <row r="27" spans="1:5" x14ac:dyDescent="0.35">
      <c r="A27">
        <v>2024</v>
      </c>
      <c r="B27">
        <v>2</v>
      </c>
      <c r="C27" s="1" t="s">
        <v>5</v>
      </c>
      <c r="D27">
        <v>33.28</v>
      </c>
      <c r="E27">
        <v>145</v>
      </c>
    </row>
    <row r="28" spans="1:5" x14ac:dyDescent="0.35">
      <c r="A28">
        <v>2024</v>
      </c>
      <c r="B28">
        <v>3</v>
      </c>
      <c r="C28" s="1" t="s">
        <v>5</v>
      </c>
      <c r="D28">
        <v>32.799999999999997</v>
      </c>
      <c r="E28">
        <v>161</v>
      </c>
    </row>
    <row r="29" spans="1:5" x14ac:dyDescent="0.35">
      <c r="A29">
        <v>2024</v>
      </c>
      <c r="B29">
        <v>4</v>
      </c>
      <c r="C29" s="1" t="s">
        <v>5</v>
      </c>
      <c r="D29">
        <v>33.840000000000003</v>
      </c>
      <c r="E29">
        <v>135</v>
      </c>
    </row>
    <row r="30" spans="1:5" x14ac:dyDescent="0.35">
      <c r="A30">
        <v>2024</v>
      </c>
      <c r="B30">
        <v>5</v>
      </c>
      <c r="C30" s="1" t="s">
        <v>5</v>
      </c>
      <c r="D30">
        <v>32.61</v>
      </c>
      <c r="E30">
        <v>148</v>
      </c>
    </row>
    <row r="31" spans="1:5" x14ac:dyDescent="0.35">
      <c r="A31">
        <v>2024</v>
      </c>
      <c r="B31">
        <v>6</v>
      </c>
      <c r="C31" s="1" t="s">
        <v>5</v>
      </c>
      <c r="D31">
        <v>30.21</v>
      </c>
      <c r="E31">
        <v>112</v>
      </c>
    </row>
    <row r="32" spans="1:5" x14ac:dyDescent="0.35">
      <c r="A32">
        <v>2024</v>
      </c>
      <c r="B32">
        <v>7</v>
      </c>
      <c r="C32" s="1" t="s">
        <v>5</v>
      </c>
      <c r="D32">
        <v>31.31</v>
      </c>
      <c r="E32">
        <v>140</v>
      </c>
    </row>
    <row r="33" spans="1:5" x14ac:dyDescent="0.35">
      <c r="A33">
        <v>2024</v>
      </c>
      <c r="B33">
        <v>8</v>
      </c>
      <c r="C33" s="1" t="s">
        <v>5</v>
      </c>
      <c r="D33">
        <v>29.43</v>
      </c>
      <c r="E33">
        <v>124</v>
      </c>
    </row>
    <row r="34" spans="1:5" x14ac:dyDescent="0.35">
      <c r="A34">
        <v>2024</v>
      </c>
      <c r="B34">
        <v>9</v>
      </c>
      <c r="C34" s="1" t="s">
        <v>5</v>
      </c>
      <c r="D34">
        <v>33.79</v>
      </c>
      <c r="E34">
        <v>110</v>
      </c>
    </row>
    <row r="35" spans="1:5" x14ac:dyDescent="0.35">
      <c r="A35">
        <v>2024</v>
      </c>
      <c r="B35">
        <v>10</v>
      </c>
      <c r="C35" s="1" t="s">
        <v>5</v>
      </c>
      <c r="D35">
        <v>31.53</v>
      </c>
      <c r="E35">
        <v>123</v>
      </c>
    </row>
    <row r="36" spans="1:5" x14ac:dyDescent="0.35">
      <c r="A36">
        <v>2024</v>
      </c>
      <c r="B36">
        <v>11</v>
      </c>
      <c r="C36" s="1" t="s">
        <v>5</v>
      </c>
      <c r="D36">
        <v>31.89</v>
      </c>
      <c r="E36">
        <v>123</v>
      </c>
    </row>
    <row r="37" spans="1:5" x14ac:dyDescent="0.35">
      <c r="A37">
        <v>2024</v>
      </c>
      <c r="B37">
        <v>12</v>
      </c>
      <c r="C37" s="1" t="s">
        <v>5</v>
      </c>
      <c r="D37">
        <v>33.42</v>
      </c>
      <c r="E37">
        <v>115</v>
      </c>
    </row>
    <row r="38" spans="1:5" x14ac:dyDescent="0.35">
      <c r="A38">
        <v>2025</v>
      </c>
      <c r="B38">
        <v>1</v>
      </c>
      <c r="C38" s="1" t="s">
        <v>5</v>
      </c>
      <c r="D38">
        <v>33.08</v>
      </c>
      <c r="E38">
        <v>209</v>
      </c>
    </row>
    <row r="39" spans="1:5" x14ac:dyDescent="0.35">
      <c r="A39">
        <v>2025</v>
      </c>
      <c r="B39">
        <v>2</v>
      </c>
      <c r="C39" s="1" t="s">
        <v>5</v>
      </c>
      <c r="D39">
        <v>34.36</v>
      </c>
      <c r="E39">
        <v>208</v>
      </c>
    </row>
    <row r="40" spans="1:5" x14ac:dyDescent="0.35">
      <c r="A40">
        <v>2025</v>
      </c>
      <c r="B40">
        <v>3</v>
      </c>
      <c r="C40" s="1" t="s">
        <v>5</v>
      </c>
      <c r="D40">
        <v>31.58</v>
      </c>
      <c r="E40">
        <v>243</v>
      </c>
    </row>
    <row r="41" spans="1:5" x14ac:dyDescent="0.35">
      <c r="A41">
        <v>2025</v>
      </c>
      <c r="B41">
        <v>4</v>
      </c>
      <c r="C41" s="1" t="s">
        <v>5</v>
      </c>
      <c r="D41">
        <v>32.36</v>
      </c>
      <c r="E41">
        <v>343</v>
      </c>
    </row>
    <row r="42" spans="1:5" x14ac:dyDescent="0.35">
      <c r="A42">
        <v>2025</v>
      </c>
      <c r="B42">
        <v>5</v>
      </c>
      <c r="C42" s="1" t="s">
        <v>5</v>
      </c>
      <c r="D42">
        <v>31.43</v>
      </c>
      <c r="E42">
        <v>343</v>
      </c>
    </row>
    <row r="43" spans="1:5" x14ac:dyDescent="0.35">
      <c r="A43">
        <v>2025</v>
      </c>
      <c r="B43">
        <v>6</v>
      </c>
      <c r="C43" s="1" t="s">
        <v>5</v>
      </c>
      <c r="D43">
        <v>31.66</v>
      </c>
      <c r="E43">
        <v>318</v>
      </c>
    </row>
    <row r="44" spans="1:5" x14ac:dyDescent="0.35">
      <c r="A44">
        <v>2025</v>
      </c>
      <c r="B44">
        <v>7</v>
      </c>
      <c r="C44" s="1" t="s">
        <v>5</v>
      </c>
      <c r="D44">
        <v>32.42</v>
      </c>
      <c r="E44">
        <v>223</v>
      </c>
    </row>
    <row r="45" spans="1:5" x14ac:dyDescent="0.35">
      <c r="A45">
        <v>2025</v>
      </c>
      <c r="B45">
        <v>8</v>
      </c>
      <c r="C45" s="1" t="s">
        <v>5</v>
      </c>
      <c r="D45">
        <v>32.33</v>
      </c>
      <c r="E45">
        <v>207</v>
      </c>
    </row>
    <row r="46" spans="1:5" x14ac:dyDescent="0.35">
      <c r="A46">
        <v>2025</v>
      </c>
      <c r="B46">
        <v>9</v>
      </c>
      <c r="C46" s="1" t="s">
        <v>5</v>
      </c>
      <c r="D46">
        <v>32.83</v>
      </c>
      <c r="E46">
        <v>212</v>
      </c>
    </row>
    <row r="47" spans="1:5" x14ac:dyDescent="0.35">
      <c r="A47">
        <v>2025</v>
      </c>
      <c r="B47">
        <v>10</v>
      </c>
      <c r="C47" s="1" t="s">
        <v>5</v>
      </c>
      <c r="D47">
        <v>32.08</v>
      </c>
      <c r="E47">
        <v>328</v>
      </c>
    </row>
    <row r="48" spans="1:5" x14ac:dyDescent="0.35">
      <c r="A48">
        <v>2025</v>
      </c>
      <c r="B48">
        <v>11</v>
      </c>
      <c r="C48" s="1" t="s">
        <v>5</v>
      </c>
      <c r="D48">
        <v>32.28</v>
      </c>
      <c r="E48">
        <v>247</v>
      </c>
    </row>
    <row r="49" spans="1:5" x14ac:dyDescent="0.35">
      <c r="A49">
        <v>2025</v>
      </c>
      <c r="B49">
        <v>12</v>
      </c>
      <c r="C49" s="1" t="s">
        <v>5</v>
      </c>
      <c r="D49">
        <v>31.27</v>
      </c>
      <c r="E49">
        <v>257</v>
      </c>
    </row>
    <row r="50" spans="1:5" x14ac:dyDescent="0.35">
      <c r="A50">
        <v>2022</v>
      </c>
      <c r="B50">
        <v>1</v>
      </c>
      <c r="C50" s="1" t="s">
        <v>6</v>
      </c>
      <c r="D50">
        <v>32.35</v>
      </c>
      <c r="E50">
        <v>72</v>
      </c>
    </row>
    <row r="51" spans="1:5" x14ac:dyDescent="0.35">
      <c r="A51">
        <v>2022</v>
      </c>
      <c r="B51">
        <v>2</v>
      </c>
      <c r="C51" s="1" t="s">
        <v>6</v>
      </c>
      <c r="D51">
        <v>29.47</v>
      </c>
      <c r="E51">
        <v>73</v>
      </c>
    </row>
    <row r="52" spans="1:5" x14ac:dyDescent="0.35">
      <c r="A52">
        <v>2022</v>
      </c>
      <c r="B52">
        <v>3</v>
      </c>
      <c r="C52" s="1" t="s">
        <v>6</v>
      </c>
      <c r="D52">
        <v>32.51</v>
      </c>
      <c r="E52">
        <v>70</v>
      </c>
    </row>
    <row r="53" spans="1:5" x14ac:dyDescent="0.35">
      <c r="A53">
        <v>2022</v>
      </c>
      <c r="B53">
        <v>4</v>
      </c>
      <c r="C53" s="1" t="s">
        <v>6</v>
      </c>
      <c r="D53">
        <v>30.83</v>
      </c>
      <c r="E53">
        <v>83</v>
      </c>
    </row>
    <row r="54" spans="1:5" x14ac:dyDescent="0.35">
      <c r="A54">
        <v>2022</v>
      </c>
      <c r="B54">
        <v>5</v>
      </c>
      <c r="C54" s="1" t="s">
        <v>6</v>
      </c>
      <c r="D54">
        <v>28.78</v>
      </c>
      <c r="E54">
        <v>76</v>
      </c>
    </row>
    <row r="55" spans="1:5" x14ac:dyDescent="0.35">
      <c r="A55">
        <v>2022</v>
      </c>
      <c r="B55">
        <v>6</v>
      </c>
      <c r="C55" s="1" t="s">
        <v>6</v>
      </c>
      <c r="D55">
        <v>26.08</v>
      </c>
      <c r="E55">
        <v>96</v>
      </c>
    </row>
    <row r="56" spans="1:5" x14ac:dyDescent="0.35">
      <c r="A56">
        <v>2022</v>
      </c>
      <c r="B56">
        <v>7</v>
      </c>
      <c r="C56" s="1" t="s">
        <v>6</v>
      </c>
      <c r="D56">
        <v>29.18</v>
      </c>
      <c r="E56">
        <v>57</v>
      </c>
    </row>
    <row r="57" spans="1:5" x14ac:dyDescent="0.35">
      <c r="A57">
        <v>2022</v>
      </c>
      <c r="B57">
        <v>8</v>
      </c>
      <c r="C57" s="1" t="s">
        <v>6</v>
      </c>
      <c r="D57">
        <v>31.88</v>
      </c>
      <c r="E57">
        <v>67</v>
      </c>
    </row>
    <row r="58" spans="1:5" x14ac:dyDescent="0.35">
      <c r="A58">
        <v>2022</v>
      </c>
      <c r="B58">
        <v>9</v>
      </c>
      <c r="C58" s="1" t="s">
        <v>6</v>
      </c>
      <c r="D58">
        <v>28.03</v>
      </c>
      <c r="E58">
        <v>77</v>
      </c>
    </row>
    <row r="59" spans="1:5" x14ac:dyDescent="0.35">
      <c r="A59">
        <v>2022</v>
      </c>
      <c r="B59">
        <v>10</v>
      </c>
      <c r="C59" s="1" t="s">
        <v>6</v>
      </c>
      <c r="D59">
        <v>29.52</v>
      </c>
      <c r="E59">
        <v>71</v>
      </c>
    </row>
    <row r="60" spans="1:5" x14ac:dyDescent="0.35">
      <c r="A60">
        <v>2022</v>
      </c>
      <c r="B60">
        <v>11</v>
      </c>
      <c r="C60" s="1" t="s">
        <v>6</v>
      </c>
      <c r="D60">
        <v>32.01</v>
      </c>
      <c r="E60">
        <v>73</v>
      </c>
    </row>
    <row r="61" spans="1:5" x14ac:dyDescent="0.35">
      <c r="A61">
        <v>2022</v>
      </c>
      <c r="B61">
        <v>12</v>
      </c>
      <c r="C61" s="1" t="s">
        <v>6</v>
      </c>
      <c r="D61">
        <v>29.29</v>
      </c>
      <c r="E61">
        <v>82</v>
      </c>
    </row>
    <row r="62" spans="1:5" x14ac:dyDescent="0.35">
      <c r="A62">
        <v>2023</v>
      </c>
      <c r="B62">
        <v>1</v>
      </c>
      <c r="C62" s="1" t="s">
        <v>6</v>
      </c>
      <c r="D62">
        <v>34.36</v>
      </c>
      <c r="E62">
        <v>108</v>
      </c>
    </row>
    <row r="63" spans="1:5" x14ac:dyDescent="0.35">
      <c r="A63">
        <v>2023</v>
      </c>
      <c r="B63">
        <v>2</v>
      </c>
      <c r="C63" s="1" t="s">
        <v>6</v>
      </c>
      <c r="D63">
        <v>28.02</v>
      </c>
      <c r="E63">
        <v>111</v>
      </c>
    </row>
    <row r="64" spans="1:5" x14ac:dyDescent="0.35">
      <c r="A64">
        <v>2023</v>
      </c>
      <c r="B64">
        <v>3</v>
      </c>
      <c r="C64" s="1" t="s">
        <v>6</v>
      </c>
      <c r="D64">
        <v>30.81</v>
      </c>
      <c r="E64">
        <v>112</v>
      </c>
    </row>
    <row r="65" spans="1:5" x14ac:dyDescent="0.35">
      <c r="A65">
        <v>2023</v>
      </c>
      <c r="B65">
        <v>4</v>
      </c>
      <c r="C65" s="1" t="s">
        <v>6</v>
      </c>
      <c r="D65">
        <v>31.59</v>
      </c>
      <c r="E65">
        <v>118</v>
      </c>
    </row>
    <row r="66" spans="1:5" x14ac:dyDescent="0.35">
      <c r="A66">
        <v>2023</v>
      </c>
      <c r="B66">
        <v>5</v>
      </c>
      <c r="C66" s="1" t="s">
        <v>6</v>
      </c>
      <c r="D66">
        <v>34.340000000000003</v>
      </c>
      <c r="E66">
        <v>103</v>
      </c>
    </row>
    <row r="67" spans="1:5" x14ac:dyDescent="0.35">
      <c r="A67">
        <v>2023</v>
      </c>
      <c r="B67">
        <v>6</v>
      </c>
      <c r="C67" s="1" t="s">
        <v>6</v>
      </c>
      <c r="D67">
        <v>31.26</v>
      </c>
      <c r="E67">
        <v>98</v>
      </c>
    </row>
    <row r="68" spans="1:5" x14ac:dyDescent="0.35">
      <c r="A68">
        <v>2023</v>
      </c>
      <c r="B68">
        <v>7</v>
      </c>
      <c r="C68" s="1" t="s">
        <v>6</v>
      </c>
      <c r="D68">
        <v>32.49</v>
      </c>
      <c r="E68">
        <v>132</v>
      </c>
    </row>
    <row r="69" spans="1:5" x14ac:dyDescent="0.35">
      <c r="A69">
        <v>2023</v>
      </c>
      <c r="B69">
        <v>8</v>
      </c>
      <c r="C69" s="1" t="s">
        <v>6</v>
      </c>
      <c r="D69">
        <v>31.91</v>
      </c>
      <c r="E69">
        <v>117</v>
      </c>
    </row>
    <row r="70" spans="1:5" x14ac:dyDescent="0.35">
      <c r="A70">
        <v>2023</v>
      </c>
      <c r="B70">
        <v>9</v>
      </c>
      <c r="C70" s="1" t="s">
        <v>6</v>
      </c>
      <c r="D70">
        <v>33.5</v>
      </c>
      <c r="E70">
        <v>112</v>
      </c>
    </row>
    <row r="71" spans="1:5" x14ac:dyDescent="0.35">
      <c r="A71">
        <v>2023</v>
      </c>
      <c r="B71">
        <v>10</v>
      </c>
      <c r="C71" s="1" t="s">
        <v>6</v>
      </c>
      <c r="D71">
        <v>31.82</v>
      </c>
      <c r="E71">
        <v>116</v>
      </c>
    </row>
    <row r="72" spans="1:5" x14ac:dyDescent="0.35">
      <c r="A72">
        <v>2023</v>
      </c>
      <c r="B72">
        <v>11</v>
      </c>
      <c r="C72" s="1" t="s">
        <v>6</v>
      </c>
      <c r="D72">
        <v>31.1</v>
      </c>
      <c r="E72">
        <v>103</v>
      </c>
    </row>
    <row r="73" spans="1:5" x14ac:dyDescent="0.35">
      <c r="A73">
        <v>2023</v>
      </c>
      <c r="B73">
        <v>12</v>
      </c>
      <c r="C73" s="1" t="s">
        <v>6</v>
      </c>
      <c r="D73">
        <v>31.78</v>
      </c>
      <c r="E73">
        <v>117</v>
      </c>
    </row>
    <row r="74" spans="1:5" x14ac:dyDescent="0.35">
      <c r="A74">
        <v>2024</v>
      </c>
      <c r="B74">
        <v>1</v>
      </c>
      <c r="C74" s="1" t="s">
        <v>6</v>
      </c>
      <c r="D74">
        <v>28.35</v>
      </c>
      <c r="E74">
        <v>122</v>
      </c>
    </row>
    <row r="75" spans="1:5" x14ac:dyDescent="0.35">
      <c r="A75">
        <v>2024</v>
      </c>
      <c r="B75">
        <v>2</v>
      </c>
      <c r="C75" s="1" t="s">
        <v>6</v>
      </c>
      <c r="D75">
        <v>30.55</v>
      </c>
      <c r="E75">
        <v>102</v>
      </c>
    </row>
    <row r="76" spans="1:5" x14ac:dyDescent="0.35">
      <c r="A76">
        <v>2024</v>
      </c>
      <c r="B76">
        <v>3</v>
      </c>
      <c r="C76" s="1" t="s">
        <v>6</v>
      </c>
      <c r="D76">
        <v>31.8</v>
      </c>
      <c r="E76">
        <v>123</v>
      </c>
    </row>
    <row r="77" spans="1:5" x14ac:dyDescent="0.35">
      <c r="A77">
        <v>2024</v>
      </c>
      <c r="B77">
        <v>4</v>
      </c>
      <c r="C77" s="1" t="s">
        <v>6</v>
      </c>
      <c r="D77">
        <v>34.200000000000003</v>
      </c>
      <c r="E77">
        <v>98</v>
      </c>
    </row>
    <row r="78" spans="1:5" x14ac:dyDescent="0.35">
      <c r="A78">
        <v>2024</v>
      </c>
      <c r="B78">
        <v>5</v>
      </c>
      <c r="C78" s="1" t="s">
        <v>6</v>
      </c>
      <c r="D78">
        <v>31.34</v>
      </c>
      <c r="E78">
        <v>103</v>
      </c>
    </row>
    <row r="79" spans="1:5" x14ac:dyDescent="0.35">
      <c r="A79">
        <v>2024</v>
      </c>
      <c r="B79">
        <v>6</v>
      </c>
      <c r="C79" s="1" t="s">
        <v>6</v>
      </c>
      <c r="D79">
        <v>32.479999999999997</v>
      </c>
      <c r="E79">
        <v>127</v>
      </c>
    </row>
    <row r="80" spans="1:5" x14ac:dyDescent="0.35">
      <c r="A80">
        <v>2024</v>
      </c>
      <c r="B80">
        <v>7</v>
      </c>
      <c r="C80" s="1" t="s">
        <v>6</v>
      </c>
      <c r="D80">
        <v>31.91</v>
      </c>
      <c r="E80">
        <v>117</v>
      </c>
    </row>
    <row r="81" spans="1:5" x14ac:dyDescent="0.35">
      <c r="A81">
        <v>2024</v>
      </c>
      <c r="B81">
        <v>8</v>
      </c>
      <c r="C81" s="1" t="s">
        <v>6</v>
      </c>
      <c r="D81">
        <v>33.270000000000003</v>
      </c>
      <c r="E81">
        <v>116</v>
      </c>
    </row>
    <row r="82" spans="1:5" x14ac:dyDescent="0.35">
      <c r="A82">
        <v>2024</v>
      </c>
      <c r="B82">
        <v>9</v>
      </c>
      <c r="C82" s="1" t="s">
        <v>6</v>
      </c>
      <c r="D82">
        <v>32</v>
      </c>
      <c r="E82">
        <v>112</v>
      </c>
    </row>
    <row r="83" spans="1:5" x14ac:dyDescent="0.35">
      <c r="A83">
        <v>2024</v>
      </c>
      <c r="B83">
        <v>10</v>
      </c>
      <c r="C83" s="1" t="s">
        <v>6</v>
      </c>
      <c r="D83">
        <v>31.96</v>
      </c>
      <c r="E83">
        <v>105</v>
      </c>
    </row>
    <row r="84" spans="1:5" x14ac:dyDescent="0.35">
      <c r="A84">
        <v>2024</v>
      </c>
      <c r="B84">
        <v>11</v>
      </c>
      <c r="C84" s="1" t="s">
        <v>6</v>
      </c>
      <c r="D84">
        <v>31.01</v>
      </c>
      <c r="E84">
        <v>115</v>
      </c>
    </row>
    <row r="85" spans="1:5" x14ac:dyDescent="0.35">
      <c r="A85">
        <v>2024</v>
      </c>
      <c r="B85">
        <v>12</v>
      </c>
      <c r="C85" s="1" t="s">
        <v>6</v>
      </c>
      <c r="D85">
        <v>34.36</v>
      </c>
      <c r="E85">
        <v>108</v>
      </c>
    </row>
    <row r="86" spans="1:5" x14ac:dyDescent="0.35">
      <c r="A86">
        <v>2025</v>
      </c>
      <c r="B86">
        <v>1</v>
      </c>
      <c r="C86" s="1" t="s">
        <v>6</v>
      </c>
      <c r="D86">
        <v>32.94</v>
      </c>
      <c r="E86">
        <v>216</v>
      </c>
    </row>
    <row r="87" spans="1:5" x14ac:dyDescent="0.35">
      <c r="A87">
        <v>2025</v>
      </c>
      <c r="B87">
        <v>2</v>
      </c>
      <c r="C87" s="1" t="s">
        <v>6</v>
      </c>
      <c r="D87">
        <v>31.66</v>
      </c>
      <c r="E87">
        <v>211</v>
      </c>
    </row>
    <row r="88" spans="1:5" x14ac:dyDescent="0.35">
      <c r="A88">
        <v>2025</v>
      </c>
      <c r="B88">
        <v>3</v>
      </c>
      <c r="C88" s="1" t="s">
        <v>6</v>
      </c>
      <c r="D88">
        <v>34.22</v>
      </c>
      <c r="E88">
        <v>206</v>
      </c>
    </row>
    <row r="89" spans="1:5" x14ac:dyDescent="0.35">
      <c r="A89">
        <v>2025</v>
      </c>
      <c r="B89">
        <v>4</v>
      </c>
      <c r="C89" s="1" t="s">
        <v>6</v>
      </c>
      <c r="D89">
        <v>33.950000000000003</v>
      </c>
      <c r="E89">
        <v>255</v>
      </c>
    </row>
    <row r="90" spans="1:5" x14ac:dyDescent="0.35">
      <c r="A90">
        <v>2025</v>
      </c>
      <c r="B90">
        <v>5</v>
      </c>
      <c r="C90" s="1" t="s">
        <v>6</v>
      </c>
      <c r="D90">
        <v>34.590000000000003</v>
      </c>
      <c r="E90">
        <v>269</v>
      </c>
    </row>
    <row r="91" spans="1:5" x14ac:dyDescent="0.35">
      <c r="A91">
        <v>2025</v>
      </c>
      <c r="B91">
        <v>6</v>
      </c>
      <c r="C91" s="1" t="s">
        <v>6</v>
      </c>
      <c r="D91">
        <v>35.67</v>
      </c>
      <c r="E91">
        <v>254</v>
      </c>
    </row>
    <row r="92" spans="1:5" x14ac:dyDescent="0.35">
      <c r="A92">
        <v>2025</v>
      </c>
      <c r="B92">
        <v>7</v>
      </c>
      <c r="C92" s="1" t="s">
        <v>6</v>
      </c>
      <c r="D92">
        <v>36.36</v>
      </c>
      <c r="E92">
        <v>138</v>
      </c>
    </row>
    <row r="93" spans="1:5" x14ac:dyDescent="0.35">
      <c r="A93">
        <v>2025</v>
      </c>
      <c r="B93">
        <v>8</v>
      </c>
      <c r="C93" s="1" t="s">
        <v>6</v>
      </c>
      <c r="D93">
        <v>30.96</v>
      </c>
      <c r="E93">
        <v>155</v>
      </c>
    </row>
    <row r="94" spans="1:5" x14ac:dyDescent="0.35">
      <c r="A94">
        <v>2025</v>
      </c>
      <c r="B94">
        <v>9</v>
      </c>
      <c r="C94" s="1" t="s">
        <v>6</v>
      </c>
      <c r="D94">
        <v>32.479999999999997</v>
      </c>
      <c r="E94">
        <v>168</v>
      </c>
    </row>
    <row r="95" spans="1:5" x14ac:dyDescent="0.35">
      <c r="A95">
        <v>2025</v>
      </c>
      <c r="B95">
        <v>10</v>
      </c>
      <c r="C95" s="1" t="s">
        <v>6</v>
      </c>
      <c r="D95">
        <v>29.58</v>
      </c>
      <c r="E95">
        <v>296</v>
      </c>
    </row>
    <row r="96" spans="1:5" x14ac:dyDescent="0.35">
      <c r="A96">
        <v>2025</v>
      </c>
      <c r="B96">
        <v>11</v>
      </c>
      <c r="C96" s="1" t="s">
        <v>6</v>
      </c>
      <c r="D96">
        <v>33.51</v>
      </c>
      <c r="E96">
        <v>180</v>
      </c>
    </row>
    <row r="97" spans="1:5" x14ac:dyDescent="0.35">
      <c r="A97">
        <v>2025</v>
      </c>
      <c r="B97">
        <v>12</v>
      </c>
      <c r="C97" s="1" t="s">
        <v>6</v>
      </c>
      <c r="D97">
        <v>33.78</v>
      </c>
      <c r="E97">
        <v>189</v>
      </c>
    </row>
    <row r="98" spans="1:5" x14ac:dyDescent="0.35">
      <c r="A98">
        <v>2022</v>
      </c>
      <c r="B98">
        <v>1</v>
      </c>
      <c r="C98" s="1" t="s">
        <v>7</v>
      </c>
      <c r="D98">
        <v>32.369999999999997</v>
      </c>
      <c r="E98">
        <v>40</v>
      </c>
    </row>
    <row r="99" spans="1:5" x14ac:dyDescent="0.35">
      <c r="A99">
        <v>2022</v>
      </c>
      <c r="B99">
        <v>2</v>
      </c>
      <c r="C99" s="1" t="s">
        <v>7</v>
      </c>
      <c r="D99">
        <v>30.95</v>
      </c>
      <c r="E99">
        <v>35</v>
      </c>
    </row>
    <row r="100" spans="1:5" x14ac:dyDescent="0.35">
      <c r="A100">
        <v>2022</v>
      </c>
      <c r="B100">
        <v>3</v>
      </c>
      <c r="C100" s="1" t="s">
        <v>7</v>
      </c>
      <c r="D100">
        <v>26.46</v>
      </c>
      <c r="E100">
        <v>39</v>
      </c>
    </row>
    <row r="101" spans="1:5" x14ac:dyDescent="0.35">
      <c r="A101">
        <v>2022</v>
      </c>
      <c r="B101">
        <v>4</v>
      </c>
      <c r="C101" s="1" t="s">
        <v>7</v>
      </c>
      <c r="D101">
        <v>29.06</v>
      </c>
      <c r="E101">
        <v>42</v>
      </c>
    </row>
    <row r="102" spans="1:5" x14ac:dyDescent="0.35">
      <c r="A102">
        <v>2022</v>
      </c>
      <c r="B102">
        <v>5</v>
      </c>
      <c r="C102" s="1" t="s">
        <v>7</v>
      </c>
      <c r="D102">
        <v>23.74</v>
      </c>
      <c r="E102">
        <v>32</v>
      </c>
    </row>
    <row r="103" spans="1:5" x14ac:dyDescent="0.35">
      <c r="A103">
        <v>2022</v>
      </c>
      <c r="B103">
        <v>6</v>
      </c>
      <c r="C103" s="1" t="s">
        <v>7</v>
      </c>
      <c r="D103">
        <v>26.15</v>
      </c>
      <c r="E103">
        <v>37</v>
      </c>
    </row>
    <row r="104" spans="1:5" x14ac:dyDescent="0.35">
      <c r="A104">
        <v>2022</v>
      </c>
      <c r="B104">
        <v>7</v>
      </c>
      <c r="C104" s="1" t="s">
        <v>7</v>
      </c>
      <c r="D104">
        <v>28.89</v>
      </c>
      <c r="E104">
        <v>36</v>
      </c>
    </row>
    <row r="105" spans="1:5" x14ac:dyDescent="0.35">
      <c r="A105">
        <v>2022</v>
      </c>
      <c r="B105">
        <v>8</v>
      </c>
      <c r="C105" s="1" t="s">
        <v>7</v>
      </c>
      <c r="D105">
        <v>29.5</v>
      </c>
      <c r="E105">
        <v>38</v>
      </c>
    </row>
    <row r="106" spans="1:5" x14ac:dyDescent="0.35">
      <c r="A106">
        <v>2022</v>
      </c>
      <c r="B106">
        <v>9</v>
      </c>
      <c r="C106" s="1" t="s">
        <v>7</v>
      </c>
      <c r="D106">
        <v>30.47</v>
      </c>
      <c r="E106">
        <v>39</v>
      </c>
    </row>
    <row r="107" spans="1:5" x14ac:dyDescent="0.35">
      <c r="A107">
        <v>2022</v>
      </c>
      <c r="B107">
        <v>10</v>
      </c>
      <c r="C107" s="1" t="s">
        <v>7</v>
      </c>
      <c r="D107">
        <v>29.86</v>
      </c>
      <c r="E107">
        <v>41</v>
      </c>
    </row>
    <row r="108" spans="1:5" x14ac:dyDescent="0.35">
      <c r="A108">
        <v>2022</v>
      </c>
      <c r="B108">
        <v>11</v>
      </c>
      <c r="C108" s="1" t="s">
        <v>7</v>
      </c>
      <c r="D108">
        <v>29.59</v>
      </c>
      <c r="E108">
        <v>35</v>
      </c>
    </row>
    <row r="109" spans="1:5" x14ac:dyDescent="0.35">
      <c r="A109">
        <v>2022</v>
      </c>
      <c r="B109">
        <v>12</v>
      </c>
      <c r="C109" s="1" t="s">
        <v>7</v>
      </c>
      <c r="D109">
        <v>28.16</v>
      </c>
      <c r="E109">
        <v>45</v>
      </c>
    </row>
    <row r="110" spans="1:5" x14ac:dyDescent="0.35">
      <c r="A110">
        <v>2023</v>
      </c>
      <c r="B110">
        <v>1</v>
      </c>
      <c r="C110" s="1" t="s">
        <v>7</v>
      </c>
      <c r="D110">
        <v>26.5</v>
      </c>
      <c r="E110">
        <v>52</v>
      </c>
    </row>
    <row r="111" spans="1:5" x14ac:dyDescent="0.35">
      <c r="A111">
        <v>2023</v>
      </c>
      <c r="B111">
        <v>2</v>
      </c>
      <c r="C111" s="1" t="s">
        <v>7</v>
      </c>
      <c r="D111">
        <v>34.119999999999997</v>
      </c>
      <c r="E111">
        <v>49</v>
      </c>
    </row>
    <row r="112" spans="1:5" x14ac:dyDescent="0.35">
      <c r="A112">
        <v>2023</v>
      </c>
      <c r="B112">
        <v>3</v>
      </c>
      <c r="C112" s="1" t="s">
        <v>7</v>
      </c>
      <c r="D112">
        <v>27.11</v>
      </c>
      <c r="E112">
        <v>61</v>
      </c>
    </row>
    <row r="113" spans="1:5" x14ac:dyDescent="0.35">
      <c r="A113">
        <v>2023</v>
      </c>
      <c r="B113">
        <v>4</v>
      </c>
      <c r="C113" s="1" t="s">
        <v>7</v>
      </c>
      <c r="D113">
        <v>26.37</v>
      </c>
      <c r="E113">
        <v>52</v>
      </c>
    </row>
    <row r="114" spans="1:5" x14ac:dyDescent="0.35">
      <c r="A114">
        <v>2023</v>
      </c>
      <c r="B114">
        <v>5</v>
      </c>
      <c r="C114" s="1" t="s">
        <v>7</v>
      </c>
      <c r="D114">
        <v>29.94</v>
      </c>
      <c r="E114">
        <v>64</v>
      </c>
    </row>
    <row r="115" spans="1:5" x14ac:dyDescent="0.35">
      <c r="A115">
        <v>2023</v>
      </c>
      <c r="B115">
        <v>6</v>
      </c>
      <c r="C115" s="1" t="s">
        <v>7</v>
      </c>
      <c r="D115">
        <v>28.51</v>
      </c>
      <c r="E115">
        <v>61</v>
      </c>
    </row>
    <row r="116" spans="1:5" x14ac:dyDescent="0.35">
      <c r="A116">
        <v>2023</v>
      </c>
      <c r="B116">
        <v>7</v>
      </c>
      <c r="C116" s="1" t="s">
        <v>7</v>
      </c>
      <c r="D116">
        <v>30.91</v>
      </c>
      <c r="E116">
        <v>51</v>
      </c>
    </row>
    <row r="117" spans="1:5" x14ac:dyDescent="0.35">
      <c r="A117">
        <v>2023</v>
      </c>
      <c r="B117">
        <v>8</v>
      </c>
      <c r="C117" s="1" t="s">
        <v>7</v>
      </c>
      <c r="D117">
        <v>28.52</v>
      </c>
      <c r="E117">
        <v>57</v>
      </c>
    </row>
    <row r="118" spans="1:5" x14ac:dyDescent="0.35">
      <c r="A118">
        <v>2023</v>
      </c>
      <c r="B118">
        <v>9</v>
      </c>
      <c r="C118" s="1" t="s">
        <v>7</v>
      </c>
      <c r="D118">
        <v>26.69</v>
      </c>
      <c r="E118">
        <v>56</v>
      </c>
    </row>
    <row r="119" spans="1:5" x14ac:dyDescent="0.35">
      <c r="A119">
        <v>2023</v>
      </c>
      <c r="B119">
        <v>10</v>
      </c>
      <c r="C119" s="1" t="s">
        <v>7</v>
      </c>
      <c r="D119">
        <v>25.54</v>
      </c>
      <c r="E119">
        <v>57</v>
      </c>
    </row>
    <row r="120" spans="1:5" x14ac:dyDescent="0.35">
      <c r="A120">
        <v>2023</v>
      </c>
      <c r="B120">
        <v>11</v>
      </c>
      <c r="C120" s="1" t="s">
        <v>7</v>
      </c>
      <c r="D120">
        <v>26.35</v>
      </c>
      <c r="E120">
        <v>63</v>
      </c>
    </row>
    <row r="121" spans="1:5" x14ac:dyDescent="0.35">
      <c r="A121">
        <v>2023</v>
      </c>
      <c r="B121">
        <v>12</v>
      </c>
      <c r="C121" s="1" t="s">
        <v>7</v>
      </c>
      <c r="D121">
        <v>27.78</v>
      </c>
      <c r="E121">
        <v>86</v>
      </c>
    </row>
    <row r="122" spans="1:5" x14ac:dyDescent="0.35">
      <c r="A122">
        <v>2024</v>
      </c>
      <c r="B122">
        <v>1</v>
      </c>
      <c r="C122" s="1" t="s">
        <v>7</v>
      </c>
      <c r="D122">
        <v>34.450000000000003</v>
      </c>
      <c r="E122">
        <v>57</v>
      </c>
    </row>
    <row r="123" spans="1:5" x14ac:dyDescent="0.35">
      <c r="A123">
        <v>2024</v>
      </c>
      <c r="B123">
        <v>2</v>
      </c>
      <c r="C123" s="1" t="s">
        <v>7</v>
      </c>
      <c r="D123">
        <v>26.51</v>
      </c>
      <c r="E123">
        <v>57</v>
      </c>
    </row>
    <row r="124" spans="1:5" x14ac:dyDescent="0.35">
      <c r="A124">
        <v>2024</v>
      </c>
      <c r="B124">
        <v>3</v>
      </c>
      <c r="C124" s="1" t="s">
        <v>7</v>
      </c>
      <c r="D124">
        <v>27.08</v>
      </c>
      <c r="E124">
        <v>55</v>
      </c>
    </row>
    <row r="125" spans="1:5" x14ac:dyDescent="0.35">
      <c r="A125">
        <v>2024</v>
      </c>
      <c r="B125">
        <v>4</v>
      </c>
      <c r="C125" s="1" t="s">
        <v>7</v>
      </c>
      <c r="D125">
        <v>29.48</v>
      </c>
      <c r="E125">
        <v>61</v>
      </c>
    </row>
    <row r="126" spans="1:5" x14ac:dyDescent="0.35">
      <c r="A126">
        <v>2024</v>
      </c>
      <c r="B126">
        <v>5</v>
      </c>
      <c r="C126" s="1" t="s">
        <v>7</v>
      </c>
      <c r="D126">
        <v>28.51</v>
      </c>
      <c r="E126">
        <v>61</v>
      </c>
    </row>
    <row r="127" spans="1:5" x14ac:dyDescent="0.35">
      <c r="A127">
        <v>2024</v>
      </c>
      <c r="B127">
        <v>6</v>
      </c>
      <c r="C127" s="1" t="s">
        <v>7</v>
      </c>
      <c r="D127">
        <v>30.91</v>
      </c>
      <c r="E127">
        <v>51</v>
      </c>
    </row>
    <row r="128" spans="1:5" x14ac:dyDescent="0.35">
      <c r="A128">
        <v>2024</v>
      </c>
      <c r="B128">
        <v>7</v>
      </c>
      <c r="C128" s="1" t="s">
        <v>7</v>
      </c>
      <c r="D128">
        <v>28.52</v>
      </c>
      <c r="E128">
        <v>57</v>
      </c>
    </row>
    <row r="129" spans="1:5" x14ac:dyDescent="0.35">
      <c r="A129">
        <v>2024</v>
      </c>
      <c r="B129">
        <v>8</v>
      </c>
      <c r="C129" s="1" t="s">
        <v>7</v>
      </c>
      <c r="D129">
        <v>26.53</v>
      </c>
      <c r="E129">
        <v>57</v>
      </c>
    </row>
    <row r="130" spans="1:5" x14ac:dyDescent="0.35">
      <c r="A130">
        <v>2024</v>
      </c>
      <c r="B130">
        <v>9</v>
      </c>
      <c r="C130" s="1" t="s">
        <v>7</v>
      </c>
      <c r="D130">
        <v>25.68</v>
      </c>
      <c r="E130">
        <v>56</v>
      </c>
    </row>
    <row r="131" spans="1:5" x14ac:dyDescent="0.35">
      <c r="A131">
        <v>2024</v>
      </c>
      <c r="B131">
        <v>10</v>
      </c>
      <c r="C131" s="1" t="s">
        <v>7</v>
      </c>
      <c r="D131">
        <v>26.93</v>
      </c>
      <c r="E131">
        <v>66</v>
      </c>
    </row>
    <row r="132" spans="1:5" x14ac:dyDescent="0.35">
      <c r="A132">
        <v>2024</v>
      </c>
      <c r="B132">
        <v>11</v>
      </c>
      <c r="C132" s="1" t="s">
        <v>7</v>
      </c>
      <c r="D132">
        <v>27.37</v>
      </c>
      <c r="E132">
        <v>83</v>
      </c>
    </row>
    <row r="133" spans="1:5" x14ac:dyDescent="0.35">
      <c r="A133">
        <v>2024</v>
      </c>
      <c r="B133">
        <v>12</v>
      </c>
      <c r="C133" s="1" t="s">
        <v>7</v>
      </c>
      <c r="D133">
        <v>26.5</v>
      </c>
      <c r="E133">
        <v>52</v>
      </c>
    </row>
    <row r="134" spans="1:5" x14ac:dyDescent="0.35">
      <c r="A134">
        <v>2025</v>
      </c>
      <c r="B134">
        <v>1</v>
      </c>
      <c r="C134" s="1" t="s">
        <v>7</v>
      </c>
      <c r="D134">
        <v>28.24</v>
      </c>
      <c r="E134">
        <v>110</v>
      </c>
    </row>
    <row r="135" spans="1:5" x14ac:dyDescent="0.35">
      <c r="A135">
        <v>2025</v>
      </c>
      <c r="B135">
        <v>2</v>
      </c>
      <c r="C135" s="1" t="s">
        <v>7</v>
      </c>
      <c r="D135">
        <v>31.28</v>
      </c>
      <c r="E135">
        <v>118</v>
      </c>
    </row>
    <row r="136" spans="1:5" x14ac:dyDescent="0.35">
      <c r="A136">
        <v>2025</v>
      </c>
      <c r="B136">
        <v>3</v>
      </c>
      <c r="C136" s="1" t="s">
        <v>7</v>
      </c>
      <c r="D136">
        <v>31.78</v>
      </c>
      <c r="E136">
        <v>91</v>
      </c>
    </row>
    <row r="137" spans="1:5" x14ac:dyDescent="0.35">
      <c r="A137">
        <v>2025</v>
      </c>
      <c r="B137">
        <v>4</v>
      </c>
      <c r="C137" s="1" t="s">
        <v>7</v>
      </c>
      <c r="D137">
        <v>28.92</v>
      </c>
      <c r="E137">
        <v>152</v>
      </c>
    </row>
    <row r="138" spans="1:5" x14ac:dyDescent="0.35">
      <c r="A138">
        <v>2025</v>
      </c>
      <c r="B138">
        <v>5</v>
      </c>
      <c r="C138" s="1" t="s">
        <v>7</v>
      </c>
      <c r="D138">
        <v>31.1</v>
      </c>
      <c r="E138">
        <v>133</v>
      </c>
    </row>
    <row r="139" spans="1:5" x14ac:dyDescent="0.35">
      <c r="A139">
        <v>2025</v>
      </c>
      <c r="B139">
        <v>6</v>
      </c>
      <c r="C139" s="1" t="s">
        <v>7</v>
      </c>
      <c r="D139">
        <v>28.72</v>
      </c>
      <c r="E139">
        <v>127</v>
      </c>
    </row>
    <row r="140" spans="1:5" x14ac:dyDescent="0.35">
      <c r="A140">
        <v>2025</v>
      </c>
      <c r="B140">
        <v>7</v>
      </c>
      <c r="C140" s="1" t="s">
        <v>7</v>
      </c>
      <c r="D140">
        <v>30.25</v>
      </c>
      <c r="E140">
        <v>82</v>
      </c>
    </row>
    <row r="141" spans="1:5" x14ac:dyDescent="0.35">
      <c r="A141">
        <v>2025</v>
      </c>
      <c r="B141">
        <v>8</v>
      </c>
      <c r="C141" s="1" t="s">
        <v>7</v>
      </c>
      <c r="D141">
        <v>25.91</v>
      </c>
      <c r="E141">
        <v>80</v>
      </c>
    </row>
    <row r="142" spans="1:5" x14ac:dyDescent="0.35">
      <c r="A142">
        <v>2025</v>
      </c>
      <c r="B142">
        <v>9</v>
      </c>
      <c r="C142" s="1" t="s">
        <v>7</v>
      </c>
      <c r="D142">
        <v>29.77</v>
      </c>
      <c r="E142">
        <v>77</v>
      </c>
    </row>
    <row r="143" spans="1:5" x14ac:dyDescent="0.35">
      <c r="A143">
        <v>2025</v>
      </c>
      <c r="B143">
        <v>10</v>
      </c>
      <c r="C143" s="1" t="s">
        <v>7</v>
      </c>
      <c r="D143">
        <v>30.79</v>
      </c>
      <c r="E143">
        <v>129</v>
      </c>
    </row>
    <row r="144" spans="1:5" x14ac:dyDescent="0.35">
      <c r="A144">
        <v>2025</v>
      </c>
      <c r="B144">
        <v>11</v>
      </c>
      <c r="C144" s="1" t="s">
        <v>7</v>
      </c>
      <c r="D144">
        <v>27.89</v>
      </c>
      <c r="E144">
        <v>88</v>
      </c>
    </row>
    <row r="145" spans="1:5" x14ac:dyDescent="0.35">
      <c r="A145">
        <v>2025</v>
      </c>
      <c r="B145">
        <v>12</v>
      </c>
      <c r="C145" s="1" t="s">
        <v>7</v>
      </c>
      <c r="D145">
        <v>24.78</v>
      </c>
      <c r="E145">
        <v>78</v>
      </c>
    </row>
    <row r="146" spans="1:5" x14ac:dyDescent="0.35">
      <c r="A146">
        <v>2022</v>
      </c>
      <c r="B146">
        <v>1</v>
      </c>
      <c r="C146" s="1" t="s">
        <v>8</v>
      </c>
      <c r="D146">
        <v>10.75</v>
      </c>
      <c r="E146">
        <v>100</v>
      </c>
    </row>
    <row r="147" spans="1:5" x14ac:dyDescent="0.35">
      <c r="A147">
        <v>2022</v>
      </c>
      <c r="B147">
        <v>2</v>
      </c>
      <c r="C147" s="1" t="s">
        <v>8</v>
      </c>
      <c r="D147">
        <v>9.77</v>
      </c>
      <c r="E147">
        <v>106</v>
      </c>
    </row>
    <row r="148" spans="1:5" x14ac:dyDescent="0.35">
      <c r="A148">
        <v>2022</v>
      </c>
      <c r="B148">
        <v>3</v>
      </c>
      <c r="C148" s="1" t="s">
        <v>8</v>
      </c>
      <c r="D148">
        <v>10.56</v>
      </c>
      <c r="E148">
        <v>91</v>
      </c>
    </row>
    <row r="149" spans="1:5" x14ac:dyDescent="0.35">
      <c r="A149">
        <v>2022</v>
      </c>
      <c r="B149">
        <v>4</v>
      </c>
      <c r="C149" s="1" t="s">
        <v>8</v>
      </c>
      <c r="D149">
        <v>10.119999999999999</v>
      </c>
      <c r="E149">
        <v>97</v>
      </c>
    </row>
    <row r="150" spans="1:5" x14ac:dyDescent="0.35">
      <c r="A150">
        <v>2022</v>
      </c>
      <c r="B150">
        <v>5</v>
      </c>
      <c r="C150" s="1" t="s">
        <v>8</v>
      </c>
      <c r="D150">
        <v>10.54</v>
      </c>
      <c r="E150">
        <v>102</v>
      </c>
    </row>
    <row r="151" spans="1:5" x14ac:dyDescent="0.35">
      <c r="A151">
        <v>2022</v>
      </c>
      <c r="B151">
        <v>6</v>
      </c>
      <c r="C151" s="1" t="s">
        <v>8</v>
      </c>
      <c r="D151">
        <v>10.42</v>
      </c>
      <c r="E151">
        <v>95</v>
      </c>
    </row>
    <row r="152" spans="1:5" x14ac:dyDescent="0.35">
      <c r="A152">
        <v>2022</v>
      </c>
      <c r="B152">
        <v>7</v>
      </c>
      <c r="C152" s="1" t="s">
        <v>8</v>
      </c>
      <c r="D152">
        <v>9.4700000000000006</v>
      </c>
      <c r="E152">
        <v>107</v>
      </c>
    </row>
    <row r="153" spans="1:5" x14ac:dyDescent="0.35">
      <c r="A153">
        <v>2022</v>
      </c>
      <c r="B153">
        <v>8</v>
      </c>
      <c r="C153" s="1" t="s">
        <v>8</v>
      </c>
      <c r="D153">
        <v>9.67</v>
      </c>
      <c r="E153">
        <v>111</v>
      </c>
    </row>
    <row r="154" spans="1:5" x14ac:dyDescent="0.35">
      <c r="A154">
        <v>2022</v>
      </c>
      <c r="B154">
        <v>9</v>
      </c>
      <c r="C154" s="1" t="s">
        <v>8</v>
      </c>
      <c r="D154">
        <v>10.5</v>
      </c>
      <c r="E154">
        <v>95</v>
      </c>
    </row>
    <row r="155" spans="1:5" x14ac:dyDescent="0.35">
      <c r="A155">
        <v>2022</v>
      </c>
      <c r="B155">
        <v>10</v>
      </c>
      <c r="C155" s="1" t="s">
        <v>8</v>
      </c>
      <c r="D155">
        <v>10.43</v>
      </c>
      <c r="E155">
        <v>116</v>
      </c>
    </row>
    <row r="156" spans="1:5" x14ac:dyDescent="0.35">
      <c r="A156">
        <v>2022</v>
      </c>
      <c r="B156">
        <v>11</v>
      </c>
      <c r="C156" s="1" t="s">
        <v>8</v>
      </c>
      <c r="D156">
        <v>10.029999999999999</v>
      </c>
      <c r="E156">
        <v>100</v>
      </c>
    </row>
    <row r="157" spans="1:5" x14ac:dyDescent="0.35">
      <c r="A157">
        <v>2022</v>
      </c>
      <c r="B157">
        <v>12</v>
      </c>
      <c r="C157" s="1" t="s">
        <v>8</v>
      </c>
      <c r="D157">
        <v>9.91</v>
      </c>
      <c r="E157">
        <v>100</v>
      </c>
    </row>
    <row r="158" spans="1:5" x14ac:dyDescent="0.35">
      <c r="A158">
        <v>2023</v>
      </c>
      <c r="B158">
        <v>1</v>
      </c>
      <c r="C158" s="1" t="s">
        <v>8</v>
      </c>
      <c r="D158">
        <v>10.51</v>
      </c>
      <c r="E158">
        <v>150</v>
      </c>
    </row>
    <row r="159" spans="1:5" x14ac:dyDescent="0.35">
      <c r="A159">
        <v>2023</v>
      </c>
      <c r="B159">
        <v>2</v>
      </c>
      <c r="C159" s="1" t="s">
        <v>8</v>
      </c>
      <c r="D159">
        <v>9.5</v>
      </c>
      <c r="E159">
        <v>143</v>
      </c>
    </row>
    <row r="160" spans="1:5" x14ac:dyDescent="0.35">
      <c r="A160">
        <v>2023</v>
      </c>
      <c r="B160">
        <v>3</v>
      </c>
      <c r="C160" s="1" t="s">
        <v>8</v>
      </c>
      <c r="D160">
        <v>10.46</v>
      </c>
      <c r="E160">
        <v>122</v>
      </c>
    </row>
    <row r="161" spans="1:5" x14ac:dyDescent="0.35">
      <c r="A161">
        <v>2023</v>
      </c>
      <c r="B161">
        <v>4</v>
      </c>
      <c r="C161" s="1" t="s">
        <v>8</v>
      </c>
      <c r="D161">
        <v>10.039999999999999</v>
      </c>
      <c r="E161">
        <v>167</v>
      </c>
    </row>
    <row r="162" spans="1:5" x14ac:dyDescent="0.35">
      <c r="A162">
        <v>2023</v>
      </c>
      <c r="B162">
        <v>5</v>
      </c>
      <c r="C162" s="1" t="s">
        <v>8</v>
      </c>
      <c r="D162">
        <v>10.39</v>
      </c>
      <c r="E162">
        <v>151</v>
      </c>
    </row>
    <row r="163" spans="1:5" x14ac:dyDescent="0.35">
      <c r="A163">
        <v>2023</v>
      </c>
      <c r="B163">
        <v>6</v>
      </c>
      <c r="C163" s="1" t="s">
        <v>8</v>
      </c>
      <c r="D163">
        <v>10.11</v>
      </c>
      <c r="E163">
        <v>160</v>
      </c>
    </row>
    <row r="164" spans="1:5" x14ac:dyDescent="0.35">
      <c r="A164">
        <v>2023</v>
      </c>
      <c r="B164">
        <v>7</v>
      </c>
      <c r="C164" s="1" t="s">
        <v>8</v>
      </c>
      <c r="D164">
        <v>9.59</v>
      </c>
      <c r="E164">
        <v>132</v>
      </c>
    </row>
    <row r="165" spans="1:5" x14ac:dyDescent="0.35">
      <c r="A165">
        <v>2023</v>
      </c>
      <c r="B165">
        <v>8</v>
      </c>
      <c r="C165" s="1" t="s">
        <v>8</v>
      </c>
      <c r="D165">
        <v>10.17</v>
      </c>
      <c r="E165">
        <v>155</v>
      </c>
    </row>
    <row r="166" spans="1:5" x14ac:dyDescent="0.35">
      <c r="A166">
        <v>2023</v>
      </c>
      <c r="B166">
        <v>9</v>
      </c>
      <c r="C166" s="1" t="s">
        <v>8</v>
      </c>
      <c r="D166">
        <v>10.59</v>
      </c>
      <c r="E166">
        <v>147</v>
      </c>
    </row>
    <row r="167" spans="1:5" x14ac:dyDescent="0.35">
      <c r="A167">
        <v>2023</v>
      </c>
      <c r="B167">
        <v>10</v>
      </c>
      <c r="C167" s="1" t="s">
        <v>8</v>
      </c>
      <c r="D167">
        <v>10.02</v>
      </c>
      <c r="E167">
        <v>161</v>
      </c>
    </row>
    <row r="168" spans="1:5" x14ac:dyDescent="0.35">
      <c r="A168">
        <v>2023</v>
      </c>
      <c r="B168">
        <v>11</v>
      </c>
      <c r="C168" s="1" t="s">
        <v>8</v>
      </c>
      <c r="D168">
        <v>9.7200000000000006</v>
      </c>
      <c r="E168">
        <v>145</v>
      </c>
    </row>
    <row r="169" spans="1:5" x14ac:dyDescent="0.35">
      <c r="A169">
        <v>2023</v>
      </c>
      <c r="B169">
        <v>12</v>
      </c>
      <c r="C169" s="1" t="s">
        <v>8</v>
      </c>
      <c r="D169">
        <v>9.4499999999999993</v>
      </c>
      <c r="E169">
        <v>156</v>
      </c>
    </row>
    <row r="170" spans="1:5" x14ac:dyDescent="0.35">
      <c r="A170">
        <v>2024</v>
      </c>
      <c r="B170">
        <v>1</v>
      </c>
      <c r="C170" s="1" t="s">
        <v>8</v>
      </c>
      <c r="D170">
        <v>9.73</v>
      </c>
      <c r="E170">
        <v>154</v>
      </c>
    </row>
    <row r="171" spans="1:5" x14ac:dyDescent="0.35">
      <c r="A171">
        <v>2024</v>
      </c>
      <c r="B171">
        <v>2</v>
      </c>
      <c r="C171" s="1" t="s">
        <v>8</v>
      </c>
      <c r="D171">
        <v>10.29</v>
      </c>
      <c r="E171">
        <v>114</v>
      </c>
    </row>
    <row r="172" spans="1:5" x14ac:dyDescent="0.35">
      <c r="A172">
        <v>2024</v>
      </c>
      <c r="B172">
        <v>3</v>
      </c>
      <c r="C172" s="1" t="s">
        <v>8</v>
      </c>
      <c r="D172">
        <v>10</v>
      </c>
      <c r="E172">
        <v>173</v>
      </c>
    </row>
    <row r="173" spans="1:5" x14ac:dyDescent="0.35">
      <c r="A173">
        <v>2024</v>
      </c>
      <c r="B173">
        <v>4</v>
      </c>
      <c r="C173" s="1" t="s">
        <v>8</v>
      </c>
      <c r="D173">
        <v>10.44</v>
      </c>
      <c r="E173">
        <v>145</v>
      </c>
    </row>
    <row r="174" spans="1:5" x14ac:dyDescent="0.35">
      <c r="A174">
        <v>2024</v>
      </c>
      <c r="B174">
        <v>5</v>
      </c>
      <c r="C174" s="1" t="s">
        <v>8</v>
      </c>
      <c r="D174">
        <v>10.11</v>
      </c>
      <c r="E174">
        <v>162</v>
      </c>
    </row>
    <row r="175" spans="1:5" x14ac:dyDescent="0.35">
      <c r="A175">
        <v>2024</v>
      </c>
      <c r="B175">
        <v>6</v>
      </c>
      <c r="C175" s="1" t="s">
        <v>8</v>
      </c>
      <c r="D175">
        <v>9.58</v>
      </c>
      <c r="E175">
        <v>130</v>
      </c>
    </row>
    <row r="176" spans="1:5" x14ac:dyDescent="0.35">
      <c r="A176">
        <v>2024</v>
      </c>
      <c r="B176">
        <v>7</v>
      </c>
      <c r="C176" s="1" t="s">
        <v>8</v>
      </c>
      <c r="D176">
        <v>10.17</v>
      </c>
      <c r="E176">
        <v>155</v>
      </c>
    </row>
    <row r="177" spans="1:5" x14ac:dyDescent="0.35">
      <c r="A177">
        <v>2024</v>
      </c>
      <c r="B177">
        <v>8</v>
      </c>
      <c r="C177" s="1" t="s">
        <v>8</v>
      </c>
      <c r="D177">
        <v>10.43</v>
      </c>
      <c r="E177">
        <v>153</v>
      </c>
    </row>
    <row r="178" spans="1:5" x14ac:dyDescent="0.35">
      <c r="A178">
        <v>2024</v>
      </c>
      <c r="B178">
        <v>9</v>
      </c>
      <c r="C178" s="1" t="s">
        <v>8</v>
      </c>
      <c r="D178">
        <v>10.15</v>
      </c>
      <c r="E178">
        <v>155</v>
      </c>
    </row>
    <row r="179" spans="1:5" x14ac:dyDescent="0.35">
      <c r="A179">
        <v>2024</v>
      </c>
      <c r="B179">
        <v>10</v>
      </c>
      <c r="C179" s="1" t="s">
        <v>8</v>
      </c>
      <c r="D179">
        <v>9.68</v>
      </c>
      <c r="E179">
        <v>147</v>
      </c>
    </row>
    <row r="180" spans="1:5" x14ac:dyDescent="0.35">
      <c r="A180">
        <v>2024</v>
      </c>
      <c r="B180">
        <v>11</v>
      </c>
      <c r="C180" s="1" t="s">
        <v>8</v>
      </c>
      <c r="D180">
        <v>9.49</v>
      </c>
      <c r="E180">
        <v>154</v>
      </c>
    </row>
    <row r="181" spans="1:5" x14ac:dyDescent="0.35">
      <c r="A181">
        <v>2024</v>
      </c>
      <c r="B181">
        <v>12</v>
      </c>
      <c r="C181" s="1" t="s">
        <v>8</v>
      </c>
      <c r="D181">
        <v>10.51</v>
      </c>
      <c r="E181">
        <v>150</v>
      </c>
    </row>
    <row r="182" spans="1:5" x14ac:dyDescent="0.35">
      <c r="A182">
        <v>2025</v>
      </c>
      <c r="B182">
        <v>1</v>
      </c>
      <c r="C182" s="1" t="s">
        <v>8</v>
      </c>
      <c r="D182">
        <v>10.07</v>
      </c>
      <c r="E182">
        <v>274</v>
      </c>
    </row>
    <row r="183" spans="1:5" x14ac:dyDescent="0.35">
      <c r="A183">
        <v>2025</v>
      </c>
      <c r="B183">
        <v>2</v>
      </c>
      <c r="C183" s="1" t="s">
        <v>8</v>
      </c>
      <c r="D183">
        <v>9.18</v>
      </c>
      <c r="E183">
        <v>268</v>
      </c>
    </row>
    <row r="184" spans="1:5" x14ac:dyDescent="0.35">
      <c r="A184">
        <v>2025</v>
      </c>
      <c r="B184">
        <v>3</v>
      </c>
      <c r="C184" s="1" t="s">
        <v>8</v>
      </c>
      <c r="D184">
        <v>10.15</v>
      </c>
      <c r="E184">
        <v>265</v>
      </c>
    </row>
    <row r="185" spans="1:5" x14ac:dyDescent="0.35">
      <c r="A185">
        <v>2025</v>
      </c>
      <c r="B185">
        <v>4</v>
      </c>
      <c r="C185" s="1" t="s">
        <v>8</v>
      </c>
      <c r="D185">
        <v>9.9</v>
      </c>
      <c r="E185">
        <v>360</v>
      </c>
    </row>
    <row r="186" spans="1:5" x14ac:dyDescent="0.35">
      <c r="A186">
        <v>2025</v>
      </c>
      <c r="B186">
        <v>5</v>
      </c>
      <c r="C186" s="1" t="s">
        <v>8</v>
      </c>
      <c r="D186">
        <v>9.92</v>
      </c>
      <c r="E186">
        <v>374</v>
      </c>
    </row>
    <row r="187" spans="1:5" x14ac:dyDescent="0.35">
      <c r="A187">
        <v>2025</v>
      </c>
      <c r="B187">
        <v>6</v>
      </c>
      <c r="C187" s="1" t="s">
        <v>8</v>
      </c>
      <c r="D187">
        <v>10.19</v>
      </c>
      <c r="E187">
        <v>393</v>
      </c>
    </row>
    <row r="188" spans="1:5" x14ac:dyDescent="0.35">
      <c r="A188">
        <v>2025</v>
      </c>
      <c r="B188">
        <v>7</v>
      </c>
      <c r="C188" s="1" t="s">
        <v>8</v>
      </c>
      <c r="D188">
        <v>10.36</v>
      </c>
      <c r="E188">
        <v>229</v>
      </c>
    </row>
    <row r="189" spans="1:5" x14ac:dyDescent="0.35">
      <c r="A189">
        <v>2025</v>
      </c>
      <c r="B189">
        <v>8</v>
      </c>
      <c r="C189" s="1" t="s">
        <v>8</v>
      </c>
      <c r="D189">
        <v>10.28</v>
      </c>
      <c r="E189">
        <v>242</v>
      </c>
    </row>
    <row r="190" spans="1:5" x14ac:dyDescent="0.35">
      <c r="A190">
        <v>2025</v>
      </c>
      <c r="B190">
        <v>9</v>
      </c>
      <c r="C190" s="1" t="s">
        <v>8</v>
      </c>
      <c r="D190">
        <v>9.93</v>
      </c>
      <c r="E190">
        <v>232</v>
      </c>
    </row>
    <row r="191" spans="1:5" x14ac:dyDescent="0.35">
      <c r="A191">
        <v>2025</v>
      </c>
      <c r="B191">
        <v>10</v>
      </c>
      <c r="C191" s="1" t="s">
        <v>8</v>
      </c>
      <c r="D191">
        <v>10.16</v>
      </c>
      <c r="E191">
        <v>377</v>
      </c>
    </row>
    <row r="192" spans="1:5" x14ac:dyDescent="0.35">
      <c r="A192">
        <v>2025</v>
      </c>
      <c r="B192">
        <v>11</v>
      </c>
      <c r="C192" s="1" t="s">
        <v>8</v>
      </c>
      <c r="D192">
        <v>10.32</v>
      </c>
      <c r="E192">
        <v>223</v>
      </c>
    </row>
    <row r="193" spans="1:5" x14ac:dyDescent="0.35">
      <c r="A193">
        <v>2025</v>
      </c>
      <c r="B193">
        <v>12</v>
      </c>
      <c r="C193" s="1" t="s">
        <v>8</v>
      </c>
      <c r="D193">
        <v>10.17</v>
      </c>
      <c r="E193">
        <v>227</v>
      </c>
    </row>
    <row r="194" spans="1:5" x14ac:dyDescent="0.35">
      <c r="A194">
        <v>2022</v>
      </c>
      <c r="B194">
        <v>1</v>
      </c>
      <c r="C194" s="1" t="s">
        <v>9</v>
      </c>
      <c r="D194">
        <v>447.26</v>
      </c>
      <c r="E194">
        <v>110</v>
      </c>
    </row>
    <row r="195" spans="1:5" x14ac:dyDescent="0.35">
      <c r="A195">
        <v>2022</v>
      </c>
      <c r="B195">
        <v>2</v>
      </c>
      <c r="C195" s="1" t="s">
        <v>9</v>
      </c>
      <c r="D195">
        <v>393.35</v>
      </c>
      <c r="E195">
        <v>98</v>
      </c>
    </row>
    <row r="196" spans="1:5" x14ac:dyDescent="0.35">
      <c r="A196">
        <v>2022</v>
      </c>
      <c r="B196">
        <v>3</v>
      </c>
      <c r="C196" s="1" t="s">
        <v>9</v>
      </c>
      <c r="D196">
        <v>440.32</v>
      </c>
      <c r="E196">
        <v>100</v>
      </c>
    </row>
    <row r="197" spans="1:5" x14ac:dyDescent="0.35">
      <c r="A197">
        <v>2022</v>
      </c>
      <c r="B197">
        <v>4</v>
      </c>
      <c r="C197" s="1" t="s">
        <v>9</v>
      </c>
      <c r="D197">
        <v>492.53</v>
      </c>
      <c r="E197">
        <v>105</v>
      </c>
    </row>
    <row r="198" spans="1:5" x14ac:dyDescent="0.35">
      <c r="A198">
        <v>2022</v>
      </c>
      <c r="B198">
        <v>5</v>
      </c>
      <c r="C198" s="1" t="s">
        <v>9</v>
      </c>
      <c r="D198">
        <v>488.73</v>
      </c>
      <c r="E198">
        <v>94</v>
      </c>
    </row>
    <row r="199" spans="1:5" x14ac:dyDescent="0.35">
      <c r="A199">
        <v>2022</v>
      </c>
      <c r="B199">
        <v>6</v>
      </c>
      <c r="C199" s="1" t="s">
        <v>9</v>
      </c>
      <c r="D199">
        <v>419.87</v>
      </c>
      <c r="E199">
        <v>99</v>
      </c>
    </row>
    <row r="200" spans="1:5" x14ac:dyDescent="0.35">
      <c r="A200">
        <v>2022</v>
      </c>
      <c r="B200">
        <v>7</v>
      </c>
      <c r="C200" s="1" t="s">
        <v>9</v>
      </c>
      <c r="D200">
        <v>473.78</v>
      </c>
      <c r="E200">
        <v>101</v>
      </c>
    </row>
    <row r="201" spans="1:5" x14ac:dyDescent="0.35">
      <c r="A201">
        <v>2022</v>
      </c>
      <c r="B201">
        <v>8</v>
      </c>
      <c r="C201" s="1" t="s">
        <v>9</v>
      </c>
      <c r="D201">
        <v>516.62</v>
      </c>
      <c r="E201">
        <v>96</v>
      </c>
    </row>
    <row r="202" spans="1:5" x14ac:dyDescent="0.35">
      <c r="A202">
        <v>2022</v>
      </c>
      <c r="B202">
        <v>9</v>
      </c>
      <c r="C202" s="1" t="s">
        <v>9</v>
      </c>
      <c r="D202">
        <v>405.92</v>
      </c>
      <c r="E202">
        <v>119</v>
      </c>
    </row>
    <row r="203" spans="1:5" x14ac:dyDescent="0.35">
      <c r="A203">
        <v>2022</v>
      </c>
      <c r="B203">
        <v>10</v>
      </c>
      <c r="C203" s="1" t="s">
        <v>9</v>
      </c>
      <c r="D203">
        <v>525.9</v>
      </c>
      <c r="E203">
        <v>113</v>
      </c>
    </row>
    <row r="204" spans="1:5" x14ac:dyDescent="0.35">
      <c r="A204">
        <v>2022</v>
      </c>
      <c r="B204">
        <v>11</v>
      </c>
      <c r="C204" s="1" t="s">
        <v>9</v>
      </c>
      <c r="D204">
        <v>398.56</v>
      </c>
      <c r="E204">
        <v>109</v>
      </c>
    </row>
    <row r="205" spans="1:5" x14ac:dyDescent="0.35">
      <c r="A205">
        <v>2022</v>
      </c>
      <c r="B205">
        <v>12</v>
      </c>
      <c r="C205" s="1" t="s">
        <v>9</v>
      </c>
      <c r="D205">
        <v>546.71</v>
      </c>
      <c r="E205">
        <v>103</v>
      </c>
    </row>
    <row r="206" spans="1:5" x14ac:dyDescent="0.35">
      <c r="A206">
        <v>2023</v>
      </c>
      <c r="B206">
        <v>1</v>
      </c>
      <c r="C206" s="1" t="s">
        <v>9</v>
      </c>
      <c r="D206">
        <v>493.62</v>
      </c>
      <c r="E206">
        <v>185</v>
      </c>
    </row>
    <row r="207" spans="1:5" x14ac:dyDescent="0.35">
      <c r="A207">
        <v>2023</v>
      </c>
      <c r="B207">
        <v>2</v>
      </c>
      <c r="C207" s="1" t="s">
        <v>9</v>
      </c>
      <c r="D207">
        <v>446.62</v>
      </c>
      <c r="E207">
        <v>151</v>
      </c>
    </row>
    <row r="208" spans="1:5" x14ac:dyDescent="0.35">
      <c r="A208">
        <v>2023</v>
      </c>
      <c r="B208">
        <v>3</v>
      </c>
      <c r="C208" s="1" t="s">
        <v>9</v>
      </c>
      <c r="D208">
        <v>469.52</v>
      </c>
      <c r="E208">
        <v>160</v>
      </c>
    </row>
    <row r="209" spans="1:5" x14ac:dyDescent="0.35">
      <c r="A209">
        <v>2023</v>
      </c>
      <c r="B209">
        <v>4</v>
      </c>
      <c r="C209" s="1" t="s">
        <v>9</v>
      </c>
      <c r="D209">
        <v>431.44</v>
      </c>
      <c r="E209">
        <v>148</v>
      </c>
    </row>
    <row r="210" spans="1:5" x14ac:dyDescent="0.35">
      <c r="A210">
        <v>2023</v>
      </c>
      <c r="B210">
        <v>5</v>
      </c>
      <c r="C210" s="1" t="s">
        <v>9</v>
      </c>
      <c r="D210">
        <v>465.07</v>
      </c>
      <c r="E210">
        <v>143</v>
      </c>
    </row>
    <row r="211" spans="1:5" x14ac:dyDescent="0.35">
      <c r="A211">
        <v>2023</v>
      </c>
      <c r="B211">
        <v>6</v>
      </c>
      <c r="C211" s="1" t="s">
        <v>9</v>
      </c>
      <c r="D211">
        <v>420.68</v>
      </c>
      <c r="E211">
        <v>135</v>
      </c>
    </row>
    <row r="212" spans="1:5" x14ac:dyDescent="0.35">
      <c r="A212">
        <v>2023</v>
      </c>
      <c r="B212">
        <v>7</v>
      </c>
      <c r="C212" s="1" t="s">
        <v>9</v>
      </c>
      <c r="D212">
        <v>436.47</v>
      </c>
      <c r="E212">
        <v>156</v>
      </c>
    </row>
    <row r="213" spans="1:5" x14ac:dyDescent="0.35">
      <c r="A213">
        <v>2023</v>
      </c>
      <c r="B213">
        <v>8</v>
      </c>
      <c r="C213" s="1" t="s">
        <v>9</v>
      </c>
      <c r="D213">
        <v>457.44</v>
      </c>
      <c r="E213">
        <v>162</v>
      </c>
    </row>
    <row r="214" spans="1:5" x14ac:dyDescent="0.35">
      <c r="A214">
        <v>2023</v>
      </c>
      <c r="B214">
        <v>9</v>
      </c>
      <c r="C214" s="1" t="s">
        <v>9</v>
      </c>
      <c r="D214">
        <v>440.61</v>
      </c>
      <c r="E214">
        <v>141</v>
      </c>
    </row>
    <row r="215" spans="1:5" x14ac:dyDescent="0.35">
      <c r="A215">
        <v>2023</v>
      </c>
      <c r="B215">
        <v>10</v>
      </c>
      <c r="C215" s="1" t="s">
        <v>9</v>
      </c>
      <c r="D215">
        <v>444.63</v>
      </c>
      <c r="E215">
        <v>166</v>
      </c>
    </row>
    <row r="216" spans="1:5" x14ac:dyDescent="0.35">
      <c r="A216">
        <v>2023</v>
      </c>
      <c r="B216">
        <v>11</v>
      </c>
      <c r="C216" s="1" t="s">
        <v>9</v>
      </c>
      <c r="D216">
        <v>437.86</v>
      </c>
      <c r="E216">
        <v>169</v>
      </c>
    </row>
    <row r="217" spans="1:5" x14ac:dyDescent="0.35">
      <c r="A217">
        <v>2023</v>
      </c>
      <c r="B217">
        <v>12</v>
      </c>
      <c r="C217" s="1" t="s">
        <v>9</v>
      </c>
      <c r="D217">
        <v>393.53</v>
      </c>
      <c r="E217">
        <v>189</v>
      </c>
    </row>
    <row r="218" spans="1:5" x14ac:dyDescent="0.35">
      <c r="A218">
        <v>2024</v>
      </c>
      <c r="B218">
        <v>1</v>
      </c>
      <c r="C218" s="1" t="s">
        <v>9</v>
      </c>
      <c r="D218">
        <v>450.74</v>
      </c>
      <c r="E218">
        <v>158</v>
      </c>
    </row>
    <row r="219" spans="1:5" x14ac:dyDescent="0.35">
      <c r="A219">
        <v>2024</v>
      </c>
      <c r="B219">
        <v>2</v>
      </c>
      <c r="C219" s="1" t="s">
        <v>9</v>
      </c>
      <c r="D219">
        <v>469.47</v>
      </c>
      <c r="E219">
        <v>155</v>
      </c>
    </row>
    <row r="220" spans="1:5" x14ac:dyDescent="0.35">
      <c r="A220">
        <v>2024</v>
      </c>
      <c r="B220">
        <v>3</v>
      </c>
      <c r="C220" s="1" t="s">
        <v>9</v>
      </c>
      <c r="D220">
        <v>422.34</v>
      </c>
      <c r="E220">
        <v>152</v>
      </c>
    </row>
    <row r="221" spans="1:5" x14ac:dyDescent="0.35">
      <c r="A221">
        <v>2024</v>
      </c>
      <c r="B221">
        <v>4</v>
      </c>
      <c r="C221" s="1" t="s">
        <v>9</v>
      </c>
      <c r="D221">
        <v>475.99</v>
      </c>
      <c r="E221">
        <v>139</v>
      </c>
    </row>
    <row r="222" spans="1:5" x14ac:dyDescent="0.35">
      <c r="A222">
        <v>2024</v>
      </c>
      <c r="B222">
        <v>5</v>
      </c>
      <c r="C222" s="1" t="s">
        <v>9</v>
      </c>
      <c r="D222">
        <v>417.57</v>
      </c>
      <c r="E222">
        <v>138</v>
      </c>
    </row>
    <row r="223" spans="1:5" x14ac:dyDescent="0.35">
      <c r="A223">
        <v>2024</v>
      </c>
      <c r="B223">
        <v>6</v>
      </c>
      <c r="C223" s="1" t="s">
        <v>9</v>
      </c>
      <c r="D223">
        <v>439.59</v>
      </c>
      <c r="E223">
        <v>153</v>
      </c>
    </row>
    <row r="224" spans="1:5" x14ac:dyDescent="0.35">
      <c r="A224">
        <v>2024</v>
      </c>
      <c r="B224">
        <v>7</v>
      </c>
      <c r="C224" s="1" t="s">
        <v>9</v>
      </c>
      <c r="D224">
        <v>457.44</v>
      </c>
      <c r="E224">
        <v>162</v>
      </c>
    </row>
    <row r="225" spans="1:5" x14ac:dyDescent="0.35">
      <c r="A225">
        <v>2024</v>
      </c>
      <c r="B225">
        <v>8</v>
      </c>
      <c r="C225" s="1" t="s">
        <v>9</v>
      </c>
      <c r="D225">
        <v>434.14</v>
      </c>
      <c r="E225">
        <v>147</v>
      </c>
    </row>
    <row r="226" spans="1:5" x14ac:dyDescent="0.35">
      <c r="A226">
        <v>2024</v>
      </c>
      <c r="B226">
        <v>9</v>
      </c>
      <c r="C226" s="1" t="s">
        <v>9</v>
      </c>
      <c r="D226">
        <v>450.72</v>
      </c>
      <c r="E226">
        <v>160</v>
      </c>
    </row>
    <row r="227" spans="1:5" x14ac:dyDescent="0.35">
      <c r="A227">
        <v>2024</v>
      </c>
      <c r="B227">
        <v>10</v>
      </c>
      <c r="C227" s="1" t="s">
        <v>9</v>
      </c>
      <c r="D227">
        <v>439.44</v>
      </c>
      <c r="E227">
        <v>175</v>
      </c>
    </row>
    <row r="228" spans="1:5" x14ac:dyDescent="0.35">
      <c r="A228">
        <v>2024</v>
      </c>
      <c r="B228">
        <v>11</v>
      </c>
      <c r="C228" s="1" t="s">
        <v>9</v>
      </c>
      <c r="D228">
        <v>390.56</v>
      </c>
      <c r="E228">
        <v>183</v>
      </c>
    </row>
    <row r="229" spans="1:5" x14ac:dyDescent="0.35">
      <c r="A229">
        <v>2024</v>
      </c>
      <c r="B229">
        <v>12</v>
      </c>
      <c r="C229" s="1" t="s">
        <v>9</v>
      </c>
      <c r="D229">
        <v>493.62</v>
      </c>
      <c r="E229">
        <v>185</v>
      </c>
    </row>
    <row r="230" spans="1:5" x14ac:dyDescent="0.35">
      <c r="A230">
        <v>2025</v>
      </c>
      <c r="B230">
        <v>1</v>
      </c>
      <c r="C230" s="1" t="s">
        <v>9</v>
      </c>
      <c r="D230">
        <v>512.84</v>
      </c>
      <c r="E230">
        <v>228</v>
      </c>
    </row>
    <row r="231" spans="1:5" x14ac:dyDescent="0.35">
      <c r="A231">
        <v>2025</v>
      </c>
      <c r="B231">
        <v>2</v>
      </c>
      <c r="C231" s="1" t="s">
        <v>9</v>
      </c>
      <c r="D231">
        <v>512.62</v>
      </c>
      <c r="E231">
        <v>199</v>
      </c>
    </row>
    <row r="232" spans="1:5" x14ac:dyDescent="0.35">
      <c r="A232">
        <v>2025</v>
      </c>
      <c r="B232">
        <v>3</v>
      </c>
      <c r="C232" s="1" t="s">
        <v>9</v>
      </c>
      <c r="D232">
        <v>432.54</v>
      </c>
      <c r="E232">
        <v>234</v>
      </c>
    </row>
    <row r="233" spans="1:5" x14ac:dyDescent="0.35">
      <c r="A233">
        <v>2025</v>
      </c>
      <c r="B233">
        <v>4</v>
      </c>
      <c r="C233" s="1" t="s">
        <v>9</v>
      </c>
      <c r="D233">
        <v>475.97</v>
      </c>
      <c r="E233">
        <v>180</v>
      </c>
    </row>
    <row r="234" spans="1:5" x14ac:dyDescent="0.35">
      <c r="A234">
        <v>2025</v>
      </c>
      <c r="B234">
        <v>5</v>
      </c>
      <c r="C234" s="1" t="s">
        <v>9</v>
      </c>
      <c r="D234">
        <v>487.16</v>
      </c>
      <c r="E234">
        <v>160</v>
      </c>
    </row>
    <row r="235" spans="1:5" x14ac:dyDescent="0.35">
      <c r="A235">
        <v>2025</v>
      </c>
      <c r="B235">
        <v>6</v>
      </c>
      <c r="C235" s="1" t="s">
        <v>9</v>
      </c>
      <c r="D235">
        <v>474.77</v>
      </c>
      <c r="E235">
        <v>181</v>
      </c>
    </row>
    <row r="236" spans="1:5" x14ac:dyDescent="0.35">
      <c r="A236">
        <v>2025</v>
      </c>
      <c r="B236">
        <v>7</v>
      </c>
      <c r="C236" s="1" t="s">
        <v>9</v>
      </c>
      <c r="D236">
        <v>523.46</v>
      </c>
      <c r="E236">
        <v>217</v>
      </c>
    </row>
    <row r="237" spans="1:5" x14ac:dyDescent="0.35">
      <c r="A237">
        <v>2025</v>
      </c>
      <c r="B237">
        <v>8</v>
      </c>
      <c r="C237" s="1" t="s">
        <v>9</v>
      </c>
      <c r="D237">
        <v>484.66</v>
      </c>
      <c r="E237">
        <v>234</v>
      </c>
    </row>
    <row r="238" spans="1:5" x14ac:dyDescent="0.35">
      <c r="A238">
        <v>2025</v>
      </c>
      <c r="B238">
        <v>9</v>
      </c>
      <c r="C238" s="1" t="s">
        <v>9</v>
      </c>
      <c r="D238">
        <v>533.88</v>
      </c>
      <c r="E238">
        <v>238</v>
      </c>
    </row>
    <row r="239" spans="1:5" x14ac:dyDescent="0.35">
      <c r="A239">
        <v>2025</v>
      </c>
      <c r="B239">
        <v>10</v>
      </c>
      <c r="C239" s="1" t="s">
        <v>9</v>
      </c>
      <c r="D239">
        <v>456.77</v>
      </c>
      <c r="E239">
        <v>422</v>
      </c>
    </row>
    <row r="240" spans="1:5" x14ac:dyDescent="0.35">
      <c r="A240">
        <v>2025</v>
      </c>
      <c r="B240">
        <v>11</v>
      </c>
      <c r="C240" s="1" t="s">
        <v>9</v>
      </c>
      <c r="D240">
        <v>443.01</v>
      </c>
      <c r="E240">
        <v>250</v>
      </c>
    </row>
    <row r="241" spans="1:5" x14ac:dyDescent="0.35">
      <c r="A241">
        <v>2025</v>
      </c>
      <c r="B241">
        <v>12</v>
      </c>
      <c r="C241" s="1" t="s">
        <v>9</v>
      </c>
      <c r="D241">
        <v>466.28</v>
      </c>
      <c r="E241">
        <v>281</v>
      </c>
    </row>
    <row r="242" spans="1:5" x14ac:dyDescent="0.35">
      <c r="A242">
        <v>2022</v>
      </c>
      <c r="B242">
        <v>1</v>
      </c>
      <c r="C242" s="1" t="s">
        <v>10</v>
      </c>
      <c r="D242">
        <v>166.24</v>
      </c>
      <c r="E242">
        <v>84</v>
      </c>
    </row>
    <row r="243" spans="1:5" x14ac:dyDescent="0.35">
      <c r="A243">
        <v>2022</v>
      </c>
      <c r="B243">
        <v>2</v>
      </c>
      <c r="C243" s="1" t="s">
        <v>10</v>
      </c>
      <c r="D243">
        <v>183.69</v>
      </c>
      <c r="E243">
        <v>97</v>
      </c>
    </row>
    <row r="244" spans="1:5" x14ac:dyDescent="0.35">
      <c r="A244">
        <v>2022</v>
      </c>
      <c r="B244">
        <v>3</v>
      </c>
      <c r="C244" s="1" t="s">
        <v>10</v>
      </c>
      <c r="D244">
        <v>179.89</v>
      </c>
      <c r="E244">
        <v>76</v>
      </c>
    </row>
    <row r="245" spans="1:5" x14ac:dyDescent="0.35">
      <c r="A245">
        <v>2022</v>
      </c>
      <c r="B245">
        <v>4</v>
      </c>
      <c r="C245" s="1" t="s">
        <v>10</v>
      </c>
      <c r="D245">
        <v>178.71</v>
      </c>
      <c r="E245">
        <v>107</v>
      </c>
    </row>
    <row r="246" spans="1:5" x14ac:dyDescent="0.35">
      <c r="A246">
        <v>2022</v>
      </c>
      <c r="B246">
        <v>5</v>
      </c>
      <c r="C246" s="1" t="s">
        <v>10</v>
      </c>
      <c r="D246">
        <v>181.72</v>
      </c>
      <c r="E246">
        <v>110</v>
      </c>
    </row>
    <row r="247" spans="1:5" x14ac:dyDescent="0.35">
      <c r="A247">
        <v>2022</v>
      </c>
      <c r="B247">
        <v>6</v>
      </c>
      <c r="C247" s="1" t="s">
        <v>10</v>
      </c>
      <c r="D247">
        <v>181.43</v>
      </c>
      <c r="E247">
        <v>99</v>
      </c>
    </row>
    <row r="248" spans="1:5" x14ac:dyDescent="0.35">
      <c r="A248">
        <v>2022</v>
      </c>
      <c r="B248">
        <v>7</v>
      </c>
      <c r="C248" s="1" t="s">
        <v>10</v>
      </c>
      <c r="D248">
        <v>187.6</v>
      </c>
      <c r="E248">
        <v>97</v>
      </c>
    </row>
    <row r="249" spans="1:5" x14ac:dyDescent="0.35">
      <c r="A249">
        <v>2022</v>
      </c>
      <c r="B249">
        <v>8</v>
      </c>
      <c r="C249" s="1" t="s">
        <v>10</v>
      </c>
      <c r="D249">
        <v>177</v>
      </c>
      <c r="E249">
        <v>98</v>
      </c>
    </row>
    <row r="250" spans="1:5" x14ac:dyDescent="0.35">
      <c r="A250">
        <v>2022</v>
      </c>
      <c r="B250">
        <v>9</v>
      </c>
      <c r="C250" s="1" t="s">
        <v>10</v>
      </c>
      <c r="D250">
        <v>181.74</v>
      </c>
      <c r="E250">
        <v>119</v>
      </c>
    </row>
    <row r="251" spans="1:5" x14ac:dyDescent="0.35">
      <c r="A251">
        <v>2022</v>
      </c>
      <c r="B251">
        <v>10</v>
      </c>
      <c r="C251" s="1" t="s">
        <v>10</v>
      </c>
      <c r="D251">
        <v>178.51</v>
      </c>
      <c r="E251">
        <v>94</v>
      </c>
    </row>
    <row r="252" spans="1:5" x14ac:dyDescent="0.35">
      <c r="A252">
        <v>2022</v>
      </c>
      <c r="B252">
        <v>11</v>
      </c>
      <c r="C252" s="1" t="s">
        <v>10</v>
      </c>
      <c r="D252">
        <v>181.23</v>
      </c>
      <c r="E252">
        <v>110</v>
      </c>
    </row>
    <row r="253" spans="1:5" x14ac:dyDescent="0.35">
      <c r="A253">
        <v>2022</v>
      </c>
      <c r="B253">
        <v>12</v>
      </c>
      <c r="C253" s="1" t="s">
        <v>10</v>
      </c>
      <c r="D253">
        <v>186.84</v>
      </c>
      <c r="E253">
        <v>110</v>
      </c>
    </row>
    <row r="254" spans="1:5" x14ac:dyDescent="0.35">
      <c r="A254">
        <v>2023</v>
      </c>
      <c r="B254">
        <v>1</v>
      </c>
      <c r="C254" s="1" t="s">
        <v>10</v>
      </c>
      <c r="D254">
        <v>168.03</v>
      </c>
      <c r="E254">
        <v>81</v>
      </c>
    </row>
    <row r="255" spans="1:5" x14ac:dyDescent="0.35">
      <c r="A255">
        <v>2023</v>
      </c>
      <c r="B255">
        <v>2</v>
      </c>
      <c r="C255" s="1" t="s">
        <v>10</v>
      </c>
      <c r="D255">
        <v>163.34</v>
      </c>
      <c r="E255">
        <v>86</v>
      </c>
    </row>
    <row r="256" spans="1:5" x14ac:dyDescent="0.35">
      <c r="A256">
        <v>2023</v>
      </c>
      <c r="B256">
        <v>3</v>
      </c>
      <c r="C256" s="1" t="s">
        <v>10</v>
      </c>
      <c r="D256">
        <v>170.74</v>
      </c>
      <c r="E256">
        <v>86</v>
      </c>
    </row>
    <row r="257" spans="1:5" x14ac:dyDescent="0.35">
      <c r="A257">
        <v>2023</v>
      </c>
      <c r="B257">
        <v>4</v>
      </c>
      <c r="C257" s="1" t="s">
        <v>10</v>
      </c>
      <c r="D257">
        <v>171.01</v>
      </c>
      <c r="E257">
        <v>107</v>
      </c>
    </row>
    <row r="258" spans="1:5" x14ac:dyDescent="0.35">
      <c r="A258">
        <v>2023</v>
      </c>
      <c r="B258">
        <v>5</v>
      </c>
      <c r="C258" s="1" t="s">
        <v>10</v>
      </c>
      <c r="D258">
        <v>174.18</v>
      </c>
      <c r="E258">
        <v>85</v>
      </c>
    </row>
    <row r="259" spans="1:5" x14ac:dyDescent="0.35">
      <c r="A259">
        <v>2023</v>
      </c>
      <c r="B259">
        <v>6</v>
      </c>
      <c r="C259" s="1" t="s">
        <v>10</v>
      </c>
      <c r="D259">
        <v>174.35</v>
      </c>
      <c r="E259">
        <v>116</v>
      </c>
    </row>
    <row r="260" spans="1:5" x14ac:dyDescent="0.35">
      <c r="A260">
        <v>2023</v>
      </c>
      <c r="B260">
        <v>7</v>
      </c>
      <c r="C260" s="1" t="s">
        <v>10</v>
      </c>
      <c r="D260">
        <v>176.83</v>
      </c>
      <c r="E260">
        <v>114</v>
      </c>
    </row>
    <row r="261" spans="1:5" x14ac:dyDescent="0.35">
      <c r="A261">
        <v>2023</v>
      </c>
      <c r="B261">
        <v>8</v>
      </c>
      <c r="C261" s="1" t="s">
        <v>10</v>
      </c>
      <c r="D261">
        <v>170.15</v>
      </c>
      <c r="E261">
        <v>128</v>
      </c>
    </row>
    <row r="262" spans="1:5" x14ac:dyDescent="0.35">
      <c r="A262">
        <v>2023</v>
      </c>
      <c r="B262">
        <v>9</v>
      </c>
      <c r="C262" s="1" t="s">
        <v>10</v>
      </c>
      <c r="D262">
        <v>168.38</v>
      </c>
      <c r="E262">
        <v>138</v>
      </c>
    </row>
    <row r="263" spans="1:5" x14ac:dyDescent="0.35">
      <c r="A263">
        <v>2023</v>
      </c>
      <c r="B263">
        <v>10</v>
      </c>
      <c r="C263" s="1" t="s">
        <v>10</v>
      </c>
      <c r="D263">
        <v>176.06</v>
      </c>
      <c r="E263">
        <v>138</v>
      </c>
    </row>
    <row r="264" spans="1:5" x14ac:dyDescent="0.35">
      <c r="A264">
        <v>2023</v>
      </c>
      <c r="B264">
        <v>11</v>
      </c>
      <c r="C264" s="1" t="s">
        <v>10</v>
      </c>
      <c r="D264">
        <v>165.57</v>
      </c>
      <c r="E264">
        <v>137</v>
      </c>
    </row>
    <row r="265" spans="1:5" x14ac:dyDescent="0.35">
      <c r="A265">
        <v>2023</v>
      </c>
      <c r="B265">
        <v>12</v>
      </c>
      <c r="C265" s="1" t="s">
        <v>10</v>
      </c>
      <c r="D265">
        <v>180.37</v>
      </c>
      <c r="E265">
        <v>141</v>
      </c>
    </row>
    <row r="266" spans="1:5" x14ac:dyDescent="0.35">
      <c r="A266">
        <v>2024</v>
      </c>
      <c r="B266">
        <v>1</v>
      </c>
      <c r="C266" s="1" t="s">
        <v>10</v>
      </c>
      <c r="D266">
        <v>164.83</v>
      </c>
      <c r="E266">
        <v>99</v>
      </c>
    </row>
    <row r="267" spans="1:5" x14ac:dyDescent="0.35">
      <c r="A267">
        <v>2024</v>
      </c>
      <c r="B267">
        <v>2</v>
      </c>
      <c r="C267" s="1" t="s">
        <v>10</v>
      </c>
      <c r="D267">
        <v>170.61</v>
      </c>
      <c r="E267">
        <v>78</v>
      </c>
    </row>
    <row r="268" spans="1:5" x14ac:dyDescent="0.35">
      <c r="A268">
        <v>2024</v>
      </c>
      <c r="B268">
        <v>3</v>
      </c>
      <c r="C268" s="1" t="s">
        <v>10</v>
      </c>
      <c r="D268">
        <v>170.86</v>
      </c>
      <c r="E268">
        <v>109</v>
      </c>
    </row>
    <row r="269" spans="1:5" x14ac:dyDescent="0.35">
      <c r="A269">
        <v>2024</v>
      </c>
      <c r="B269">
        <v>4</v>
      </c>
      <c r="C269" s="1" t="s">
        <v>10</v>
      </c>
      <c r="D269">
        <v>174.46</v>
      </c>
      <c r="E269">
        <v>83</v>
      </c>
    </row>
    <row r="270" spans="1:5" x14ac:dyDescent="0.35">
      <c r="A270">
        <v>2024</v>
      </c>
      <c r="B270">
        <v>5</v>
      </c>
      <c r="C270" s="1" t="s">
        <v>10</v>
      </c>
      <c r="D270">
        <v>174.52</v>
      </c>
      <c r="E270">
        <v>117</v>
      </c>
    </row>
    <row r="271" spans="1:5" x14ac:dyDescent="0.35">
      <c r="A271">
        <v>2024</v>
      </c>
      <c r="B271">
        <v>6</v>
      </c>
      <c r="C271" s="1" t="s">
        <v>10</v>
      </c>
      <c r="D271">
        <v>176.67</v>
      </c>
      <c r="E271">
        <v>113</v>
      </c>
    </row>
    <row r="272" spans="1:5" x14ac:dyDescent="0.35">
      <c r="A272">
        <v>2024</v>
      </c>
      <c r="B272">
        <v>7</v>
      </c>
      <c r="C272" s="1" t="s">
        <v>10</v>
      </c>
      <c r="D272">
        <v>170.15</v>
      </c>
      <c r="E272">
        <v>128</v>
      </c>
    </row>
    <row r="273" spans="1:5" x14ac:dyDescent="0.35">
      <c r="A273">
        <v>2024</v>
      </c>
      <c r="B273">
        <v>8</v>
      </c>
      <c r="C273" s="1" t="s">
        <v>10</v>
      </c>
      <c r="D273">
        <v>168.07</v>
      </c>
      <c r="E273">
        <v>143</v>
      </c>
    </row>
    <row r="274" spans="1:5" x14ac:dyDescent="0.35">
      <c r="A274">
        <v>2024</v>
      </c>
      <c r="B274">
        <v>9</v>
      </c>
      <c r="C274" s="1" t="s">
        <v>10</v>
      </c>
      <c r="D274">
        <v>176.69</v>
      </c>
      <c r="E274">
        <v>133</v>
      </c>
    </row>
    <row r="275" spans="1:5" x14ac:dyDescent="0.35">
      <c r="A275">
        <v>2024</v>
      </c>
      <c r="B275">
        <v>10</v>
      </c>
      <c r="C275" s="1" t="s">
        <v>10</v>
      </c>
      <c r="D275">
        <v>165.92</v>
      </c>
      <c r="E275">
        <v>138</v>
      </c>
    </row>
    <row r="276" spans="1:5" x14ac:dyDescent="0.35">
      <c r="A276">
        <v>2024</v>
      </c>
      <c r="B276">
        <v>11</v>
      </c>
      <c r="C276" s="1" t="s">
        <v>10</v>
      </c>
      <c r="D276">
        <v>180.13</v>
      </c>
      <c r="E276">
        <v>140</v>
      </c>
    </row>
    <row r="277" spans="1:5" x14ac:dyDescent="0.35">
      <c r="A277">
        <v>2024</v>
      </c>
      <c r="B277">
        <v>12</v>
      </c>
      <c r="C277" s="1" t="s">
        <v>10</v>
      </c>
      <c r="D277">
        <v>168.03</v>
      </c>
      <c r="E277">
        <v>81</v>
      </c>
    </row>
    <row r="278" spans="1:5" x14ac:dyDescent="0.35">
      <c r="A278">
        <v>2025</v>
      </c>
      <c r="B278">
        <v>1</v>
      </c>
      <c r="C278" s="1" t="s">
        <v>10</v>
      </c>
      <c r="D278">
        <v>172.6</v>
      </c>
      <c r="E278">
        <v>68</v>
      </c>
    </row>
    <row r="279" spans="1:5" x14ac:dyDescent="0.35">
      <c r="A279">
        <v>2025</v>
      </c>
      <c r="B279">
        <v>2</v>
      </c>
      <c r="C279" s="1" t="s">
        <v>10</v>
      </c>
      <c r="D279">
        <v>162.68</v>
      </c>
      <c r="E279">
        <v>56</v>
      </c>
    </row>
    <row r="280" spans="1:5" x14ac:dyDescent="0.35">
      <c r="A280">
        <v>2025</v>
      </c>
      <c r="B280">
        <v>3</v>
      </c>
      <c r="C280" s="1" t="s">
        <v>10</v>
      </c>
      <c r="D280">
        <v>176.22</v>
      </c>
      <c r="E280">
        <v>94</v>
      </c>
    </row>
    <row r="281" spans="1:5" x14ac:dyDescent="0.35">
      <c r="A281">
        <v>2025</v>
      </c>
      <c r="B281">
        <v>4</v>
      </c>
      <c r="C281" s="1" t="s">
        <v>10</v>
      </c>
      <c r="D281">
        <v>175.25</v>
      </c>
      <c r="E281">
        <v>144</v>
      </c>
    </row>
    <row r="282" spans="1:5" x14ac:dyDescent="0.35">
      <c r="A282">
        <v>2025</v>
      </c>
      <c r="B282">
        <v>5</v>
      </c>
      <c r="C282" s="1" t="s">
        <v>10</v>
      </c>
      <c r="D282">
        <v>170.68</v>
      </c>
      <c r="E282">
        <v>164</v>
      </c>
    </row>
    <row r="283" spans="1:5" x14ac:dyDescent="0.35">
      <c r="A283">
        <v>2025</v>
      </c>
      <c r="B283">
        <v>6</v>
      </c>
      <c r="C283" s="1" t="s">
        <v>10</v>
      </c>
      <c r="D283">
        <v>170.1</v>
      </c>
      <c r="E283">
        <v>187</v>
      </c>
    </row>
    <row r="284" spans="1:5" x14ac:dyDescent="0.35">
      <c r="A284">
        <v>2025</v>
      </c>
      <c r="B284">
        <v>7</v>
      </c>
      <c r="C284" s="1" t="s">
        <v>10</v>
      </c>
      <c r="D284">
        <v>160.03</v>
      </c>
      <c r="E284">
        <v>115</v>
      </c>
    </row>
    <row r="285" spans="1:5" x14ac:dyDescent="0.35">
      <c r="A285">
        <v>2025</v>
      </c>
      <c r="B285">
        <v>8</v>
      </c>
      <c r="C285" s="1" t="s">
        <v>10</v>
      </c>
      <c r="D285">
        <v>171.45</v>
      </c>
      <c r="E285">
        <v>131</v>
      </c>
    </row>
    <row r="286" spans="1:5" x14ac:dyDescent="0.35">
      <c r="A286">
        <v>2025</v>
      </c>
      <c r="B286">
        <v>9</v>
      </c>
      <c r="C286" s="1" t="s">
        <v>10</v>
      </c>
      <c r="D286">
        <v>164.19</v>
      </c>
      <c r="E286">
        <v>118</v>
      </c>
    </row>
    <row r="287" spans="1:5" x14ac:dyDescent="0.35">
      <c r="A287">
        <v>2025</v>
      </c>
      <c r="B287">
        <v>10</v>
      </c>
      <c r="C287" s="1" t="s">
        <v>10</v>
      </c>
      <c r="D287">
        <v>165.73</v>
      </c>
      <c r="E287">
        <v>187</v>
      </c>
    </row>
    <row r="288" spans="1:5" x14ac:dyDescent="0.35">
      <c r="A288">
        <v>2025</v>
      </c>
      <c r="B288">
        <v>11</v>
      </c>
      <c r="C288" s="1" t="s">
        <v>10</v>
      </c>
      <c r="D288">
        <v>160</v>
      </c>
      <c r="E288">
        <v>109</v>
      </c>
    </row>
    <row r="289" spans="1:5" x14ac:dyDescent="0.35">
      <c r="A289">
        <v>2025</v>
      </c>
      <c r="B289">
        <v>12</v>
      </c>
      <c r="C289" s="1" t="s">
        <v>10</v>
      </c>
      <c r="D289">
        <v>169.12</v>
      </c>
      <c r="E289">
        <v>126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992100-935F-483A-B7C9-75B26810298D}">
  <dimension ref="A1:C49"/>
  <sheetViews>
    <sheetView workbookViewId="0">
      <selection activeCell="G17" sqref="G17"/>
    </sheetView>
  </sheetViews>
  <sheetFormatPr defaultRowHeight="14.5" x14ac:dyDescent="0.35"/>
  <cols>
    <col min="1" max="1" width="6.81640625" bestFit="1" customWidth="1"/>
    <col min="2" max="2" width="8.36328125" bestFit="1" customWidth="1"/>
    <col min="3" max="3" width="18" bestFit="1" customWidth="1"/>
  </cols>
  <sheetData>
    <row r="1" spans="1:3" x14ac:dyDescent="0.35">
      <c r="A1" t="s">
        <v>0</v>
      </c>
      <c r="B1" t="s">
        <v>1</v>
      </c>
      <c r="C1" t="s">
        <v>15</v>
      </c>
    </row>
    <row r="2" spans="1:3" x14ac:dyDescent="0.35">
      <c r="A2">
        <v>2022</v>
      </c>
      <c r="B2">
        <v>1</v>
      </c>
      <c r="C2">
        <v>70597.509999999995</v>
      </c>
    </row>
    <row r="3" spans="1:3" x14ac:dyDescent="0.35">
      <c r="A3">
        <v>2022</v>
      </c>
      <c r="B3">
        <v>2</v>
      </c>
      <c r="C3">
        <v>63225.69</v>
      </c>
    </row>
    <row r="4" spans="1:3" x14ac:dyDescent="0.35">
      <c r="A4">
        <v>2022</v>
      </c>
      <c r="B4">
        <v>3</v>
      </c>
      <c r="C4">
        <v>64779.71</v>
      </c>
    </row>
    <row r="5" spans="1:3" x14ac:dyDescent="0.35">
      <c r="A5">
        <v>2022</v>
      </c>
      <c r="B5">
        <v>4</v>
      </c>
      <c r="C5">
        <v>78465.399999999994</v>
      </c>
    </row>
    <row r="6" spans="1:3" x14ac:dyDescent="0.35">
      <c r="A6">
        <v>2022</v>
      </c>
      <c r="B6">
        <v>5</v>
      </c>
      <c r="C6">
        <v>73037.02</v>
      </c>
    </row>
    <row r="7" spans="1:3" x14ac:dyDescent="0.35">
      <c r="A7">
        <v>2022</v>
      </c>
      <c r="B7">
        <v>6</v>
      </c>
      <c r="C7">
        <v>66868.55</v>
      </c>
    </row>
    <row r="8" spans="1:3" x14ac:dyDescent="0.35">
      <c r="A8">
        <v>2022</v>
      </c>
      <c r="B8">
        <v>7</v>
      </c>
      <c r="C8">
        <v>72096.47</v>
      </c>
    </row>
    <row r="9" spans="1:3" x14ac:dyDescent="0.35">
      <c r="A9">
        <v>2022</v>
      </c>
      <c r="B9">
        <v>8</v>
      </c>
      <c r="C9">
        <v>73904.91</v>
      </c>
    </row>
    <row r="10" spans="1:3" x14ac:dyDescent="0.35">
      <c r="A10">
        <v>2022</v>
      </c>
      <c r="B10">
        <v>9</v>
      </c>
      <c r="C10">
        <v>77869.16</v>
      </c>
    </row>
    <row r="11" spans="1:3" x14ac:dyDescent="0.35">
      <c r="A11">
        <v>2022</v>
      </c>
      <c r="B11">
        <v>10</v>
      </c>
      <c r="C11">
        <v>83610.78</v>
      </c>
    </row>
    <row r="12" spans="1:3" x14ac:dyDescent="0.35">
      <c r="A12">
        <v>2022</v>
      </c>
      <c r="B12">
        <v>11</v>
      </c>
      <c r="C12">
        <v>70526.89</v>
      </c>
    </row>
    <row r="13" spans="1:3" x14ac:dyDescent="0.35">
      <c r="A13">
        <v>2022</v>
      </c>
      <c r="B13">
        <v>12</v>
      </c>
      <c r="C13">
        <v>84464.75</v>
      </c>
    </row>
    <row r="14" spans="1:3" x14ac:dyDescent="0.35">
      <c r="A14">
        <v>2023</v>
      </c>
      <c r="B14">
        <v>1</v>
      </c>
      <c r="C14">
        <v>115439.64</v>
      </c>
    </row>
    <row r="15" spans="1:3" x14ac:dyDescent="0.35">
      <c r="A15">
        <v>2023</v>
      </c>
      <c r="B15">
        <v>2</v>
      </c>
      <c r="C15">
        <v>91815.52</v>
      </c>
    </row>
    <row r="16" spans="1:3" x14ac:dyDescent="0.35">
      <c r="A16">
        <v>2023</v>
      </c>
      <c r="B16">
        <v>3</v>
      </c>
      <c r="C16">
        <v>101529.42</v>
      </c>
    </row>
    <row r="17" spans="1:3" x14ac:dyDescent="0.35">
      <c r="A17">
        <v>2023</v>
      </c>
      <c r="B17">
        <v>4</v>
      </c>
      <c r="C17">
        <v>94095.22</v>
      </c>
    </row>
    <row r="18" spans="1:3" x14ac:dyDescent="0.35">
      <c r="A18">
        <v>2023</v>
      </c>
      <c r="B18">
        <v>5</v>
      </c>
      <c r="C18">
        <v>93011.83</v>
      </c>
    </row>
    <row r="19" spans="1:3" x14ac:dyDescent="0.35">
      <c r="A19">
        <v>2023</v>
      </c>
      <c r="B19">
        <v>6</v>
      </c>
      <c r="C19">
        <v>88203.9</v>
      </c>
    </row>
    <row r="20" spans="1:3" x14ac:dyDescent="0.35">
      <c r="A20">
        <v>2023</v>
      </c>
      <c r="B20">
        <v>7</v>
      </c>
      <c r="C20">
        <v>98822.98</v>
      </c>
    </row>
    <row r="21" spans="1:3" x14ac:dyDescent="0.35">
      <c r="A21">
        <v>2023</v>
      </c>
      <c r="B21">
        <v>8</v>
      </c>
      <c r="C21">
        <v>107203.9</v>
      </c>
    </row>
    <row r="22" spans="1:3" x14ac:dyDescent="0.35">
      <c r="A22">
        <v>2023</v>
      </c>
      <c r="B22">
        <v>9</v>
      </c>
      <c r="C22">
        <v>95680.79</v>
      </c>
    </row>
    <row r="23" spans="1:3" x14ac:dyDescent="0.35">
      <c r="A23">
        <v>2023</v>
      </c>
      <c r="B23">
        <v>10</v>
      </c>
      <c r="C23">
        <v>108715.83</v>
      </c>
    </row>
    <row r="24" spans="1:3" x14ac:dyDescent="0.35">
      <c r="A24">
        <v>2023</v>
      </c>
      <c r="B24">
        <v>11</v>
      </c>
      <c r="C24">
        <v>106648.71</v>
      </c>
    </row>
    <row r="25" spans="1:3" x14ac:dyDescent="0.35">
      <c r="A25">
        <v>2023</v>
      </c>
      <c r="B25">
        <v>12</v>
      </c>
      <c r="C25">
        <v>111495.71</v>
      </c>
    </row>
    <row r="26" spans="1:3" x14ac:dyDescent="0.35">
      <c r="A26">
        <v>2024</v>
      </c>
      <c r="B26">
        <v>1</v>
      </c>
      <c r="C26">
        <v>99272.17</v>
      </c>
    </row>
    <row r="27" spans="1:3" x14ac:dyDescent="0.35">
      <c r="A27">
        <v>2024</v>
      </c>
      <c r="B27">
        <v>2</v>
      </c>
      <c r="C27">
        <v>96699.78</v>
      </c>
    </row>
    <row r="28" spans="1:3" x14ac:dyDescent="0.35">
      <c r="A28">
        <v>2024</v>
      </c>
      <c r="B28">
        <v>3</v>
      </c>
      <c r="C28">
        <v>95231.21</v>
      </c>
    </row>
    <row r="29" spans="1:3" x14ac:dyDescent="0.35">
      <c r="A29">
        <v>2024</v>
      </c>
      <c r="B29">
        <v>4</v>
      </c>
      <c r="C29">
        <v>91875.839999999997</v>
      </c>
    </row>
    <row r="30" spans="1:3" x14ac:dyDescent="0.35">
      <c r="A30">
        <v>2024</v>
      </c>
      <c r="B30">
        <v>5</v>
      </c>
      <c r="C30">
        <v>89476.87</v>
      </c>
    </row>
    <row r="31" spans="1:3" x14ac:dyDescent="0.35">
      <c r="A31">
        <v>2024</v>
      </c>
      <c r="B31">
        <v>6</v>
      </c>
      <c r="C31">
        <v>97550.01</v>
      </c>
    </row>
    <row r="32" spans="1:3" x14ac:dyDescent="0.35">
      <c r="A32">
        <v>2024</v>
      </c>
      <c r="B32">
        <v>7</v>
      </c>
      <c r="C32">
        <v>107203.9</v>
      </c>
    </row>
    <row r="33" spans="1:3" x14ac:dyDescent="0.35">
      <c r="A33">
        <v>2024</v>
      </c>
      <c r="B33">
        <v>8</v>
      </c>
      <c r="C33">
        <v>98470.41</v>
      </c>
    </row>
    <row r="34" spans="1:3" x14ac:dyDescent="0.35">
      <c r="A34">
        <v>2024</v>
      </c>
      <c r="B34">
        <v>9</v>
      </c>
      <c r="C34">
        <v>105926.21</v>
      </c>
    </row>
    <row r="35" spans="1:3" x14ac:dyDescent="0.35">
      <c r="A35">
        <v>2024</v>
      </c>
      <c r="B35">
        <v>10</v>
      </c>
      <c r="C35">
        <v>110232.92</v>
      </c>
    </row>
    <row r="36" spans="1:3" x14ac:dyDescent="0.35">
      <c r="A36">
        <v>2024</v>
      </c>
      <c r="B36">
        <v>11</v>
      </c>
      <c r="C36">
        <v>107911.5</v>
      </c>
    </row>
    <row r="37" spans="1:3" x14ac:dyDescent="0.35">
      <c r="A37">
        <v>2024</v>
      </c>
      <c r="B37">
        <v>12</v>
      </c>
      <c r="C37">
        <v>115439.64</v>
      </c>
    </row>
    <row r="38" spans="1:3" x14ac:dyDescent="0.35">
      <c r="A38">
        <v>2025</v>
      </c>
      <c r="B38">
        <v>1</v>
      </c>
      <c r="C38">
        <v>148558.26</v>
      </c>
    </row>
    <row r="39" spans="1:3" x14ac:dyDescent="0.35">
      <c r="A39">
        <v>2025</v>
      </c>
      <c r="B39">
        <v>2</v>
      </c>
      <c r="C39">
        <v>131102.07999999999</v>
      </c>
    </row>
    <row r="40" spans="1:3" x14ac:dyDescent="0.35">
      <c r="A40">
        <v>2025</v>
      </c>
      <c r="B40">
        <v>3</v>
      </c>
      <c r="C40">
        <v>138083.24</v>
      </c>
    </row>
    <row r="41" spans="1:3" x14ac:dyDescent="0.35">
      <c r="A41">
        <v>2025</v>
      </c>
      <c r="B41">
        <v>4</v>
      </c>
      <c r="C41">
        <v>138626.23999999999</v>
      </c>
    </row>
    <row r="42" spans="1:3" x14ac:dyDescent="0.35">
      <c r="A42">
        <v>2025</v>
      </c>
      <c r="B42">
        <v>5</v>
      </c>
      <c r="C42">
        <v>133865.16</v>
      </c>
    </row>
    <row r="43" spans="1:3" x14ac:dyDescent="0.35">
      <c r="A43">
        <v>2025</v>
      </c>
      <c r="B43">
        <v>6</v>
      </c>
      <c r="C43">
        <v>144521.48000000001</v>
      </c>
    </row>
    <row r="44" spans="1:3" x14ac:dyDescent="0.35">
      <c r="A44">
        <v>2025</v>
      </c>
      <c r="B44">
        <v>7</v>
      </c>
      <c r="C44">
        <v>149097.1</v>
      </c>
    </row>
    <row r="45" spans="1:3" x14ac:dyDescent="0.35">
      <c r="A45">
        <v>2025</v>
      </c>
      <c r="B45">
        <v>8</v>
      </c>
      <c r="C45">
        <v>151923.99</v>
      </c>
    </row>
    <row r="46" spans="1:3" x14ac:dyDescent="0.35">
      <c r="A46">
        <v>2025</v>
      </c>
      <c r="B46">
        <v>9</v>
      </c>
      <c r="C46">
        <v>163449.78</v>
      </c>
    </row>
    <row r="47" spans="1:3" x14ac:dyDescent="0.35">
      <c r="A47">
        <v>2025</v>
      </c>
      <c r="B47">
        <v>10</v>
      </c>
      <c r="C47">
        <v>250830.46</v>
      </c>
    </row>
    <row r="48" spans="1:3" x14ac:dyDescent="0.35">
      <c r="A48">
        <v>2025</v>
      </c>
      <c r="B48">
        <v>11</v>
      </c>
      <c r="C48">
        <v>146953.32999999999</v>
      </c>
    </row>
    <row r="49" spans="1:3" x14ac:dyDescent="0.35">
      <c r="A49">
        <v>2025</v>
      </c>
      <c r="B49">
        <v>12</v>
      </c>
      <c r="C49">
        <v>170994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37A852C5-7EE5-48EF-8DA1-9D80125F1107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Revenue Chart</vt:lpstr>
      <vt:lpstr>GrowthChart</vt:lpstr>
      <vt:lpstr>GrowthData</vt:lpstr>
      <vt:lpstr>ProductData</vt:lpstr>
      <vt:lpstr>Revenue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edmund viray</dc:creator>
  <cp:lastModifiedBy>edmund viray</cp:lastModifiedBy>
  <dcterms:created xsi:type="dcterms:W3CDTF">2026-05-01T10:59:14Z</dcterms:created>
  <dcterms:modified xsi:type="dcterms:W3CDTF">2026-05-01T13:36:31Z</dcterms:modified>
</cp:coreProperties>
</file>